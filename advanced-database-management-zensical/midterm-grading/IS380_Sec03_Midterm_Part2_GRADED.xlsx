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1" t="inlineStr">
        <is>
          <t>Student</t>
        </is>
      </c>
      <c r="B1" s="1" t="inlineStr">
        <is>
          <t>P1 Entities(5)</t>
        </is>
      </c>
      <c r="C1" s="1" t="inlineStr">
        <is>
          <t>P1 Attrs(4)</t>
        </is>
      </c>
      <c r="D1" s="1" t="inlineStr">
        <is>
          <t>P1 Rels(4)</t>
        </is>
      </c>
      <c r="E1" s="1" t="inlineStr">
        <is>
          <t>P1 SuperSub(4)</t>
        </is>
      </c>
      <c r="F1" s="1" t="inlineStr">
        <is>
          <t>P1 Clean(3)</t>
        </is>
      </c>
      <c r="G1" s="1" t="inlineStr">
        <is>
          <t>P1 Total(20)</t>
        </is>
      </c>
      <c r="H1" s="1" t="inlineStr">
        <is>
          <t>P2 Relations(4)</t>
        </is>
      </c>
      <c r="I1" s="1" t="inlineStr">
        <is>
          <t>P2 PKs(4)</t>
        </is>
      </c>
      <c r="J1" s="1" t="inlineStr">
        <is>
          <t>P2 FKs(4)</t>
        </is>
      </c>
      <c r="K1" s="1" t="inlineStr">
        <is>
          <t>P2 SuperSub(4)</t>
        </is>
      </c>
      <c r="L1" s="1" t="inlineStr">
        <is>
          <t>P2 Special(4)</t>
        </is>
      </c>
      <c r="M1" s="1" t="inlineStr">
        <is>
          <t>P2 Total(20)</t>
        </is>
      </c>
      <c r="N1" s="1" t="inlineStr">
        <is>
          <t>P3 Q1(4)</t>
        </is>
      </c>
      <c r="O1" s="1" t="inlineStr">
        <is>
          <t>P3 Q2(4)</t>
        </is>
      </c>
      <c r="P1" s="1" t="inlineStr">
        <is>
          <t>P3 Q3(4)</t>
        </is>
      </c>
      <c r="Q1" s="1" t="inlineStr">
        <is>
          <t>P3 Q4(4)</t>
        </is>
      </c>
      <c r="R1" s="1" t="inlineStr">
        <is>
          <t>P3 Q5(4)</t>
        </is>
      </c>
      <c r="S1" s="1" t="inlineStr">
        <is>
          <t>P3 Total(20)</t>
        </is>
      </c>
      <c r="T1" s="1" t="inlineStr">
        <is>
          <t>Grand Total(60)</t>
        </is>
      </c>
      <c r="U1" s="1" t="inlineStr">
        <is>
          <t>%</t>
        </is>
      </c>
      <c r="V1" s="1" t="inlineStr">
        <is>
          <t>Letter</t>
        </is>
      </c>
      <c r="W1" s="1" t="inlineStr">
        <is>
          <t>Notes</t>
        </is>
      </c>
    </row>
    <row r="2">
      <c r="A2" s="2" t="inlineStr">
        <is>
          <t>Dean Cao</t>
        </is>
      </c>
      <c r="B2" s="2" t="n">
        <v>4</v>
      </c>
      <c r="C2" s="2" t="n">
        <v>4</v>
      </c>
      <c r="D2" s="2" t="n">
        <v>3</v>
      </c>
      <c r="E2" s="2" t="n">
        <v>3</v>
      </c>
      <c r="F2" s="2" t="n">
        <v>3</v>
      </c>
      <c r="G2" s="3">
        <f>SUM(B2:F2)</f>
        <v/>
      </c>
      <c r="H2" s="2" t="n">
        <v>3</v>
      </c>
      <c r="I2" s="2" t="n">
        <v>3</v>
      </c>
      <c r="J2" s="2" t="n">
        <v>2</v>
      </c>
      <c r="K2" s="2" t="n">
        <v>3</v>
      </c>
      <c r="L2" s="2" t="n">
        <v>2</v>
      </c>
      <c r="M2" s="3">
        <f>SUM(H2:L2)</f>
        <v/>
      </c>
      <c r="N2" s="2" t="n">
        <v>4</v>
      </c>
      <c r="O2" s="2" t="n">
        <v>3</v>
      </c>
      <c r="P2" s="2" t="n">
        <v>3</v>
      </c>
      <c r="Q2" s="2" t="n">
        <v>4</v>
      </c>
      <c r="R2" s="2" t="n">
        <v>3</v>
      </c>
      <c r="S2" s="3">
        <f>SUM(N2:R2)</f>
        <v/>
      </c>
      <c r="T2" s="4">
        <f>G2+M2+S2</f>
        <v/>
      </c>
      <c r="U2" s="5">
        <f>T2/60</f>
        <v/>
      </c>
      <c r="V2" s="2">
        <f>IF(T2&gt;=54,"A",IF(T2&gt;=48,"B",IF(T2&gt;=42,"C",IF(T2&gt;=36,"D","F"))))</f>
        <v/>
      </c>
      <c r="W2" s="6" t="inlineStr">
        <is>
          <t>P1: P1: 5 entities correct (PEOPLE, VOLUNTEER, ADOPTER, ANIMAL, HOUSING AREA). All attributes correct. Circle O=overlapping correct. Discriminator labels "Volunteer?=Y", "Adopter?=Y" present. Volunteer→Animal M:N, Animal→Housing. Missing associative entity for M:N but using direct connection. Clean diagram. D: Partial noted but no explicit partial/total line notation.
P2: P2: Has solution entities with FKs. PROJECT(PK ProjectID, FK ClientID), CONSULTANT_PROJECT(HoursAssigned). CONSULTANT(Specialty) and MANAGER(BonusRate) present. ClientID FK in PROJECT=correct. Missing EmployeeID as PK/FK in subtypes explicitly. CONSULTANT_PROJECT present but missing composite PK labels.
P3: P3: Labels show 1NF/2NF/3NF circles. 2NF: PD1-PET TYPE, PD2-TRAINING TYPE(only TrainingTypeID), PD3-Accessory(AccesoryName,TrainerID,TrainerName,RecommendedQty), FD with composite PK. 3NF: PD3-Accessory has FK TrainerID, TRAINER(TD) has TrainerID+TrainerName+RecommendedQty. Issue: RecommendedQty in TRAINER table (wrong). PD2 missing TrainingTypeName in 2NF.</t>
        </is>
      </c>
    </row>
    <row r="3">
      <c r="A3" s="2" t="inlineStr">
        <is>
          <t>Brian Cho</t>
        </is>
      </c>
      <c r="B3" s="2" t="n">
        <v>4</v>
      </c>
      <c r="C3" s="2" t="n">
        <v>4</v>
      </c>
      <c r="D3" s="2" t="n">
        <v>3</v>
      </c>
      <c r="E3" s="2" t="n">
        <v>4</v>
      </c>
      <c r="F3" s="2" t="n">
        <v>3</v>
      </c>
      <c r="G3" s="3">
        <f>SUM(B3:F3)</f>
        <v/>
      </c>
      <c r="H3" s="2" t="n">
        <v>2</v>
      </c>
      <c r="I3" s="2" t="n">
        <v>1</v>
      </c>
      <c r="J3" s="2" t="n">
        <v>1</v>
      </c>
      <c r="K3" s="2" t="n">
        <v>1</v>
      </c>
      <c r="L3" s="2" t="n">
        <v>0</v>
      </c>
      <c r="M3" s="3">
        <f>SUM(H3:L3)</f>
        <v/>
      </c>
      <c r="N3" s="2" t="n">
        <v>4</v>
      </c>
      <c r="O3" s="2" t="n">
        <v>3</v>
      </c>
      <c r="P3" s="2" t="n">
        <v>2</v>
      </c>
      <c r="Q3" s="2" t="n">
        <v>3</v>
      </c>
      <c r="R3" s="2" t="n">
        <v>3</v>
      </c>
      <c r="S3" s="3">
        <f>SUM(N3:R3)</f>
        <v/>
      </c>
      <c r="T3" s="4">
        <f>G3+M3+S3</f>
        <v/>
      </c>
      <c r="U3" s="5">
        <f>T3/60</f>
        <v/>
      </c>
      <c r="V3" s="2">
        <f>IF(T3&gt;=54,"A",IF(T3&gt;=48,"B",IF(T3&gt;=42,"C",IF(T3&gt;=36,"D","F"))))</f>
        <v/>
      </c>
      <c r="W3" s="6" t="inlineStr">
        <is>
          <t>P1: P1: 5 entities: PERSON, VOLUNTEERS, HOUSING AREA, ANIMAL, ADOPTER. All attributes correct. Circle "o"=overlapping correct. PersonType? discriminator. Volunteer→Animal, Animal→Housing relationships.
P2: P2: CLIENT has PKs for EmployeeID, ProjectID, UniqueID — dumped all FKs into CLIENT (wrong). PROJECT missing FKs. No CONSULTANT_PROJECT. MANAGER has UniqueID (not EmployeeID). Fundamental transformation errors.
P3: P3: 2NF: PD1(PetTypeID,PetTypeName), PD2(TrainingTypeID,TrainingTypeName,AccessoryID,AccessoryName,TrainerName) — PD2 has too many attrs. FD missing AccessoryID in composite PK. 3NF: TD(TrainerID,TrainerName) correct. PD2 has TrainerID FK. But PD2 still has AccessoryID/Name — wrong.</t>
        </is>
      </c>
    </row>
    <row r="4">
      <c r="A4" s="2" t="inlineStr">
        <is>
          <t>Jean Cho</t>
        </is>
      </c>
      <c r="B4" s="2" t="n">
        <v>4</v>
      </c>
      <c r="C4" s="2" t="n">
        <v>4</v>
      </c>
      <c r="D4" s="2" t="n">
        <v>3</v>
      </c>
      <c r="E4" s="2" t="n">
        <v>3</v>
      </c>
      <c r="F4" s="2" t="n">
        <v>3</v>
      </c>
      <c r="G4" s="3">
        <f>SUM(B4:F4)</f>
        <v/>
      </c>
      <c r="H4" s="2" t="n">
        <v>4</v>
      </c>
      <c r="I4" s="2" t="n">
        <v>3</v>
      </c>
      <c r="J4" s="2" t="n">
        <v>3</v>
      </c>
      <c r="K4" s="2" t="n">
        <v>3</v>
      </c>
      <c r="L4" s="2" t="n">
        <v>2</v>
      </c>
      <c r="M4" s="3">
        <f>SUM(H4:L4)</f>
        <v/>
      </c>
      <c r="N4" s="2" t="n">
        <v>4</v>
      </c>
      <c r="O4" s="2" t="n">
        <v>3</v>
      </c>
      <c r="P4" s="2" t="n">
        <v>3</v>
      </c>
      <c r="Q4" s="2" t="n">
        <v>3</v>
      </c>
      <c r="R4" s="2" t="n">
        <v>3</v>
      </c>
      <c r="S4" s="3">
        <f>SUM(N4:R4)</f>
        <v/>
      </c>
      <c r="T4" s="4">
        <f>G4+M4+S4</f>
        <v/>
      </c>
      <c r="U4" s="5">
        <f>T4/60</f>
        <v/>
      </c>
      <c r="V4" s="2">
        <f>IF(T4&gt;=54,"A",IF(T4&gt;=48,"B",IF(T4&gt;=42,"C",IF(T4&gt;=36,"D","F"))))</f>
        <v/>
      </c>
      <c r="W4" s="6" t="inlineStr">
        <is>
          <t>P1: P1: 5 entities correct. All attrs correct. Circle O=overlapping correct. PersonType discriminator. Volunteer→Animal, Animal→Housing. Missing associative.
P2: P2: PROJECT(PK ProjectID, FK ClientID, FK ManagerID). CONSULTANT(ConsultantID, FK EmployeeID) — uses ConsultantID not EmployeeID as PK. MANAGER(ManagerID, FK EmployeeID). Missing CONSULTANT_PROJECT (no associative table for M:N). FK placement mostly correct.
P3: P3: DEPENDENCIES labeled 1NF. PD1,PD2,PD3 correct in 2NF. FD with composite PK correct. 3NF: PD3 has FK TraininerID, TD(TrainerID,TraininerName). Clean labels. Minor: PD3 in 2NF had TraininerID+TrainerName inside — correct for 2NF. 3NF correctly separates.</t>
        </is>
      </c>
    </row>
    <row r="5">
      <c r="A5" s="2" t="inlineStr">
        <is>
          <t>Beatriz Comesana</t>
        </is>
      </c>
      <c r="B5" s="2" t="n">
        <v>4</v>
      </c>
      <c r="C5" s="2" t="n">
        <v>4</v>
      </c>
      <c r="D5" s="2" t="n">
        <v>3</v>
      </c>
      <c r="E5" s="2" t="n">
        <v>4</v>
      </c>
      <c r="F5" s="2" t="n">
        <v>3</v>
      </c>
      <c r="G5" s="3">
        <f>SUM(B5:F5)</f>
        <v/>
      </c>
      <c r="H5" s="2" t="n">
        <v>3</v>
      </c>
      <c r="I5" s="2" t="n">
        <v>2</v>
      </c>
      <c r="J5" s="2" t="n">
        <v>1</v>
      </c>
      <c r="K5" s="2" t="n">
        <v>2</v>
      </c>
      <c r="L5" s="2" t="n">
        <v>0</v>
      </c>
      <c r="M5" s="3">
        <f>SUM(H5:L5)</f>
        <v/>
      </c>
      <c r="N5" s="2" t="n">
        <v>4</v>
      </c>
      <c r="O5" s="2" t="n">
        <v>3</v>
      </c>
      <c r="P5" s="2" t="n">
        <v>3</v>
      </c>
      <c r="Q5" s="2" t="n">
        <v>3</v>
      </c>
      <c r="R5" s="2" t="n">
        <v>3</v>
      </c>
      <c r="S5" s="3">
        <f>SUM(N5:R5)</f>
        <v/>
      </c>
      <c r="T5" s="4">
        <f>G5+M5+S5</f>
        <v/>
      </c>
      <c r="U5" s="5">
        <f>T5/60</f>
        <v/>
      </c>
      <c r="V5" s="2">
        <f>IF(T5&gt;=54,"A",IF(T5&gt;=48,"B",IF(T5&gt;=42,"C",IF(T5&gt;=36,"D","F"))))</f>
        <v/>
      </c>
      <c r="W5" s="6" t="inlineStr">
        <is>
          <t>P1: P1: 5 entities: PEOPLE, VOLUNTEER, ADOPTERS, ANIMALS, HOUSING_AREA. All attrs correct. Circle O=overlapping correct. "V"/"A" discriminator labels. Relationships present.
P2: P2: Has solution. CONSULTANT(Specialty,FK Employee ID,Consultant ID), MANAGER(BonusRate,FK Employee ID,Manager iD). Both have own IDs AND FK to Employee — partially right. CLIENT has FK Project ID (backwards). PROJECT has PK1-3 FK to Client,Consultant,Manager — too many FKs. No CONSULTANT_PROJECT. HoursAssigned missing.
P3: P3: 2NF: PD1 PET, PD2 TRAINING(TrainingTypeID,TrainingTypeName,TrainerID), PD3 Accessory, FD with composite. 3NF: TD(Trainer ID,Trainer Name), PD2 has FK TrainerID. Correct structure. Minor: PD2 in 2NF includes TrainerID as PK — wrong.</t>
        </is>
      </c>
    </row>
    <row r="6">
      <c r="A6" s="2" t="inlineStr">
        <is>
          <t>Helen Dang</t>
        </is>
      </c>
      <c r="B6" s="2" t="n">
        <v>4</v>
      </c>
      <c r="C6" s="2" t="n">
        <v>4</v>
      </c>
      <c r="D6" s="2" t="n">
        <v>3</v>
      </c>
      <c r="E6" s="2" t="n">
        <v>4</v>
      </c>
      <c r="F6" s="2" t="n">
        <v>3</v>
      </c>
      <c r="G6" s="3">
        <f>SUM(B6:F6)</f>
        <v/>
      </c>
      <c r="H6" s="2" t="n">
        <v>4</v>
      </c>
      <c r="I6" s="2" t="n">
        <v>3</v>
      </c>
      <c r="J6" s="2" t="n">
        <v>2</v>
      </c>
      <c r="K6" s="2" t="n">
        <v>3</v>
      </c>
      <c r="L6" s="2" t="n">
        <v>3</v>
      </c>
      <c r="M6" s="3">
        <f>SUM(H6:L6)</f>
        <v/>
      </c>
      <c r="N6" s="2" t="n">
        <v>4</v>
      </c>
      <c r="O6" s="2" t="n">
        <v>3</v>
      </c>
      <c r="P6" s="2" t="n">
        <v>3</v>
      </c>
      <c r="Q6" s="2" t="n">
        <v>3</v>
      </c>
      <c r="R6" s="2" t="n">
        <v>3</v>
      </c>
      <c r="S6" s="3">
        <f>SUM(N6:R6)</f>
        <v/>
      </c>
      <c r="T6" s="4">
        <f>G6+M6+S6</f>
        <v/>
      </c>
      <c r="U6" s="5">
        <f>T6/60</f>
        <v/>
      </c>
      <c r="V6" s="2">
        <f>IF(T6&gt;=54,"A",IF(T6&gt;=48,"B",IF(T6&gt;=42,"C",IF(T6&gt;=36,"D","F"))))</f>
        <v/>
      </c>
      <c r="W6" s="6" t="inlineStr">
        <is>
          <t>P1: P1: 5 entities correct. All attrs. Circle O=overlapping correct. PeopleType discriminator. Volunteer→Animal, Animal→Housing.
P2: P2: CONSULTANT_PROJECT present with HoursAssigned. CONSULTANT(PK,FK1 EmployeeID, Specialty). MANAGER(PK,FK1 EmployeeID, BonusRate, FK2 ProjectID). CLIENT(ClientID,ClientName,FK ProjectID) — FK backwards. ProjectID should not be in CLIENT. Subtypes use EmployeeID as PK/FK — correct.
P3: P3: Q1="first nominal form" — meant 1NF, correct. 2NF: PD1,PD2(with TrainerID,TrainerName),PD3,FD correct. 3NF: TD(TrainerID,TrainerName), PD2 has FK TrainerID. Correct separation.</t>
        </is>
      </c>
    </row>
    <row r="7">
      <c r="A7" s="2" t="inlineStr">
        <is>
          <t>Valerie Esquivel</t>
        </is>
      </c>
      <c r="B7" s="2" t="n">
        <v>3</v>
      </c>
      <c r="C7" s="2" t="n">
        <v>3</v>
      </c>
      <c r="D7" s="2" t="n">
        <v>2</v>
      </c>
      <c r="E7" s="2" t="n">
        <v>3</v>
      </c>
      <c r="F7" s="2" t="n">
        <v>2</v>
      </c>
      <c r="G7" s="3">
        <f>SUM(B7:F7)</f>
        <v/>
      </c>
      <c r="H7" s="2" t="n">
        <v>3</v>
      </c>
      <c r="I7" s="2" t="n">
        <v>2</v>
      </c>
      <c r="J7" s="2" t="n">
        <v>2</v>
      </c>
      <c r="K7" s="2" t="n">
        <v>0</v>
      </c>
      <c r="L7" s="2" t="n">
        <v>0</v>
      </c>
      <c r="M7" s="3">
        <f>SUM(H7:L7)</f>
        <v/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3">
        <f>SUM(N7:R7)</f>
        <v/>
      </c>
      <c r="T7" s="4">
        <f>G7+M7+S7</f>
        <v/>
      </c>
      <c r="U7" s="5">
        <f>T7/60</f>
        <v/>
      </c>
      <c r="V7" s="2">
        <f>IF(T7&gt;=54,"A",IF(T7&gt;=48,"B",IF(T7&gt;=42,"C",IF(T7&gt;=36,"D","F"))))</f>
        <v/>
      </c>
      <c r="W7" s="6" t="inlineStr">
        <is>
          <t>P1: P1: DIFFERENT EXAM VERSION — Real Estate. Entities: PROPERTY, CONDOMINIUM, CUSTOMER, INVESTOR, RENTER, COMPANY, Rental. 7 entities. Supertype/subtype with "o" for both Property and Customer types. Has Rental associative. Missing some attributes. Structure reasonable but different scenario.
P2: P2: DIFFERENT EXAM VERSION — RideShare. PASSENGER, TRIP, LOCATION, DriverID(table named wrong). TRIP has FK1 LocationID, FK2 PassengerID, FK3 DriverID — correct placement. No supertype/subtype in this version. No M:N.
P3: P3: DIFFERENT EXAM VERSION — Hospital ADMISSION table. Only shows the starting table with dependency arrows label but no actual work done. No Q1-Q5 answers.</t>
        </is>
      </c>
    </row>
    <row r="8">
      <c r="A8" s="2" t="inlineStr">
        <is>
          <t>Vihara Fernando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3">
        <f>SUM(B8:F8)</f>
        <v/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3">
        <f>SUM(H8:L8)</f>
        <v/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3">
        <f>SUM(N8:R8)</f>
        <v/>
      </c>
      <c r="T8" s="4">
        <f>G8+M8+S8</f>
        <v/>
      </c>
      <c r="U8" s="5">
        <f>T8/60</f>
        <v/>
      </c>
      <c r="V8" s="2">
        <f>IF(T8&gt;=54,"A",IF(T8&gt;=48,"B",IF(T8&gt;=42,"C",IF(T8&gt;=36,"D","F"))))</f>
        <v/>
      </c>
      <c r="W8" s="6" t="inlineStr">
        <is>
          <t>P1: P1: Only submitted docx with exam text. No drawio diagram. No entities drawn.
P2: P2: No diagram submitted.
P3: P3: No answers in docx. Only exam boilerplate text.</t>
        </is>
      </c>
    </row>
    <row r="9">
      <c r="A9" s="2" t="inlineStr">
        <is>
          <t>Alastair Gaw</t>
        </is>
      </c>
      <c r="B9" s="2" t="n">
        <v>4</v>
      </c>
      <c r="C9" s="2" t="n">
        <v>3</v>
      </c>
      <c r="D9" s="2" t="n">
        <v>3</v>
      </c>
      <c r="E9" s="2" t="n">
        <v>4</v>
      </c>
      <c r="F9" s="2" t="n">
        <v>2</v>
      </c>
      <c r="G9" s="3">
        <f>SUM(B9:F9)</f>
        <v/>
      </c>
      <c r="H9" s="2" t="n">
        <v>3</v>
      </c>
      <c r="I9" s="2" t="n">
        <v>2</v>
      </c>
      <c r="J9" s="2" t="n">
        <v>2</v>
      </c>
      <c r="K9" s="2" t="n">
        <v>2</v>
      </c>
      <c r="L9" s="2" t="n">
        <v>0</v>
      </c>
      <c r="M9" s="3">
        <f>SUM(H9:L9)</f>
        <v/>
      </c>
      <c r="N9" s="2" t="n">
        <v>4</v>
      </c>
      <c r="O9" s="2" t="n">
        <v>3</v>
      </c>
      <c r="P9" s="2" t="n">
        <v>2</v>
      </c>
      <c r="Q9" s="2" t="n">
        <v>2</v>
      </c>
      <c r="R9" s="2" t="n">
        <v>2</v>
      </c>
      <c r="S9" s="3">
        <f>SUM(N9:R9)</f>
        <v/>
      </c>
      <c r="T9" s="4">
        <f>G9+M9+S9</f>
        <v/>
      </c>
      <c r="U9" s="5">
        <f>T9/60</f>
        <v/>
      </c>
      <c r="V9" s="2">
        <f>IF(T9&gt;=54,"A",IF(T9&gt;=48,"B",IF(T9&gt;=42,"C",IF(T9&gt;=36,"D","F"))))</f>
        <v/>
      </c>
      <c r="W9" s="6" t="inlineStr">
        <is>
          <t>P1: P1: 5 entities: People, Volunteers, Adopters, Animals, Housing Area. Correct attrs. Circle O=overlapping correct. Supertype connections correct. Animals→Volunteers, Housing→Animals — direction slightly off but concept correct.
P2: P2: Project(PK1,FK1 ManagerID, PK1,FK2 ClientID). Manager(ManagerID, PK,FK1 EmployeeID). Consultant(ConsultantID, PK,FK1 EmployeeID). ManagerID/ConsultantID used instead of EmployeeID as PK — wrong. Project→Manager, Project→Client connections. No CONSULTANT_PROJECT. HoursAssigned missing.
P3: P3: 1NF shown. 2NF: PET(PD1), TRAINING(PD2), PD3(Accesory with TrainerID,TrainerName,RecommendedQty), FULL DEPS with composite PK. 3NF: TRAINER(TD) has TrainerID,TrainerName,RecommendedQty — RecommendedQty wrong placement. PD3 has FK TrainerID. Close but RecommendedQty error.</t>
        </is>
      </c>
    </row>
    <row r="10">
      <c r="A10" s="2" t="inlineStr">
        <is>
          <t>Girichyan</t>
        </is>
      </c>
      <c r="B10" s="2" t="n">
        <v>5</v>
      </c>
      <c r="C10" s="2" t="n">
        <v>4</v>
      </c>
      <c r="D10" s="2" t="n">
        <v>4</v>
      </c>
      <c r="E10" s="2" t="n">
        <v>4</v>
      </c>
      <c r="F10" s="2" t="n">
        <v>3</v>
      </c>
      <c r="G10" s="3">
        <f>SUM(B10:F10)</f>
        <v/>
      </c>
      <c r="H10" s="2" t="n">
        <v>4</v>
      </c>
      <c r="I10" s="2" t="n">
        <v>4</v>
      </c>
      <c r="J10" s="2" t="n">
        <v>3</v>
      </c>
      <c r="K10" s="2" t="n">
        <v>4</v>
      </c>
      <c r="L10" s="2" t="n">
        <v>3</v>
      </c>
      <c r="M10" s="3">
        <f>SUM(H10:L10)</f>
        <v/>
      </c>
      <c r="N10" s="2" t="n">
        <v>4</v>
      </c>
      <c r="O10" s="2" t="n">
        <v>4</v>
      </c>
      <c r="P10" s="2" t="n">
        <v>3</v>
      </c>
      <c r="Q10" s="2" t="n">
        <v>3</v>
      </c>
      <c r="R10" s="2" t="n">
        <v>3</v>
      </c>
      <c r="S10" s="3">
        <f>SUM(N10:R10)</f>
        <v/>
      </c>
      <c r="T10" s="4">
        <f>G10+M10+S10</f>
        <v/>
      </c>
      <c r="U10" s="5">
        <f>T10/60</f>
        <v/>
      </c>
      <c r="V10" s="2">
        <f>IF(T10&gt;=54,"A",IF(T10&gt;=48,"B",IF(T10&gt;=42,"C",IF(T10&gt;=36,"D","F"))))</f>
        <v/>
      </c>
      <c r="W10" s="6" t="inlineStr">
        <is>
          <t>P1: P1: EXCELLENT. PERSON, VOLUNTEER, ADOPTER, ANIMAL, HOUSING_AREA, CARE_ASSIGNMENT(associative). Circle O=overlapping. Partial specialization. All cardinalities correct. Very clean.
P2: P2: Clean transformation. EMPLOYEE, CONSULTANT, MANAGER, CLIENT, PROJECT, CONSULTANT_PROJECT all present. Visual review confirms quality but small text limits detail verification.
P3: P3: Complete answers Q1-Q5. Tables for 2NF and 3NF. Appears thorough from visual review.</t>
        </is>
      </c>
    </row>
    <row r="11">
      <c r="A11" s="2" t="inlineStr">
        <is>
          <t>Bryan Gonzalez</t>
        </is>
      </c>
      <c r="B11" s="2" t="n">
        <v>4</v>
      </c>
      <c r="C11" s="2" t="n">
        <v>3</v>
      </c>
      <c r="D11" s="2" t="n">
        <v>3</v>
      </c>
      <c r="E11" s="2" t="n">
        <v>4</v>
      </c>
      <c r="F11" s="2" t="n">
        <v>2</v>
      </c>
      <c r="G11" s="3">
        <f>SUM(B11:F11)</f>
        <v/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3">
        <f>SUM(H11:L11)</f>
        <v/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3">
        <f>SUM(N11:R11)</f>
        <v/>
      </c>
      <c r="T11" s="4">
        <f>G11+M11+S11</f>
        <v/>
      </c>
      <c r="U11" s="5">
        <f>T11/60</f>
        <v/>
      </c>
      <c r="V11" s="2">
        <f>IF(T11&gt;=54,"A",IF(T11&gt;=48,"B",IF(T11&gt;=42,"C",IF(T11&gt;=36,"D","F"))))</f>
        <v/>
      </c>
      <c r="W11" s="6" t="inlineStr">
        <is>
          <t>P1: P1: 5 entities: PEOPLE, Volunteers, Adopters, Animal, Housing_Area. Circle O=overlapping correct. Relationships present. Placed P3 TABLE inside P1 page (messy). Missing some attribute details.
P2: P2: Only template/reference entities visible. No FKs added, no transformation done. Unmodified template.
P3: P3: Only the TABLE entity shown but no decomposition, no 2NF, no 3NF. Empty entries.</t>
        </is>
      </c>
    </row>
    <row r="12">
      <c r="A12" s="2" t="inlineStr">
        <is>
          <t>Caleb Gossard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3">
        <f>SUM(B12:F12)</f>
        <v/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3">
        <f>SUM(H12:L12)</f>
        <v/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3">
        <f>SUM(N12:R12)</f>
        <v/>
      </c>
      <c r="T12" s="4">
        <f>G12+M12+S12</f>
        <v/>
      </c>
      <c r="U12" s="5">
        <f>T12/60</f>
        <v/>
      </c>
      <c r="V12" s="2">
        <f>IF(T12&gt;=54,"A",IF(T12&gt;=48,"B",IF(T12&gt;=42,"C",IF(T12&gt;=36,"D","F"))))</f>
        <v/>
      </c>
      <c r="W12" s="6" t="inlineStr">
        <is>
          <t>P1: P1: Only docx with exam text. No diagram submitted.
P2: P2: No diagram.
P3: P3: No answers.</t>
        </is>
      </c>
    </row>
    <row r="13">
      <c r="A13" s="2" t="inlineStr">
        <is>
          <t>Hoang Huynh</t>
        </is>
      </c>
      <c r="B13" s="2" t="n">
        <v>4</v>
      </c>
      <c r="C13" s="2" t="n">
        <v>4</v>
      </c>
      <c r="D13" s="2" t="n">
        <v>3</v>
      </c>
      <c r="E13" s="2" t="n">
        <v>4</v>
      </c>
      <c r="F13" s="2" t="n">
        <v>3</v>
      </c>
      <c r="G13" s="3">
        <f>SUM(B13:F13)</f>
        <v/>
      </c>
      <c r="H13" s="2" t="n">
        <v>3</v>
      </c>
      <c r="I13" s="2" t="n">
        <v>2</v>
      </c>
      <c r="J13" s="2" t="n">
        <v>2</v>
      </c>
      <c r="K13" s="2" t="n">
        <v>1</v>
      </c>
      <c r="L13" s="2" t="n">
        <v>0</v>
      </c>
      <c r="M13" s="3">
        <f>SUM(H13:L13)</f>
        <v/>
      </c>
      <c r="N13" s="2" t="n">
        <v>4</v>
      </c>
      <c r="O13" s="2" t="n">
        <v>3</v>
      </c>
      <c r="P13" s="2" t="n">
        <v>3</v>
      </c>
      <c r="Q13" s="2" t="n">
        <v>3</v>
      </c>
      <c r="R13" s="2" t="n">
        <v>3</v>
      </c>
      <c r="S13" s="3">
        <f>SUM(N13:R13)</f>
        <v/>
      </c>
      <c r="T13" s="4">
        <f>G13+M13+S13</f>
        <v/>
      </c>
      <c r="U13" s="5">
        <f>T13/60</f>
        <v/>
      </c>
      <c r="V13" s="2">
        <f>IF(T13&gt;=54,"A",IF(T13&gt;=48,"B",IF(T13&gt;=42,"C",IF(T13&gt;=36,"D","F"))))</f>
        <v/>
      </c>
      <c r="W13" s="6" t="inlineStr">
        <is>
          <t>P1: P1: PEOPLE, ANIMALS, HOUSING AREA, Volunteer, Adopter. Circle O=overlapping correct. "taken care"/"assigned to" labels. Good.
P2: P2: PROJECT(PK,FK1 ProjectID, PK,FK2 ManagerEmployeeID). EMPLOYEE has FK ManagerEmployeeID, FK ConsultantEmployeeID — FKs in EMPLOYEE pointing to subtypes (backwards). MANAGER(PK ManagerEmployeeID), CONSULTANT(PK ConsultantEmployeeID) — use own IDs not EmployeeID. CLIENT correct. No CONSULTANT_PROJECT. Wrong FK direction.
P3: P3: 1NF/2NF/3NF circles. 2NF: PD1 PetType, PD2 TrainingType, PD3 Accessory(with TrainerID,TrainerName), FD with composite PK. 3NF: TD Trainer(TrainerID,TrainerName), PD3 has FK TrainerID. Correct structure.</t>
        </is>
      </c>
    </row>
    <row r="14">
      <c r="A14" s="2" t="inlineStr">
        <is>
          <t>Henry Jin</t>
        </is>
      </c>
      <c r="B14" s="2" t="n">
        <v>4</v>
      </c>
      <c r="C14" s="2" t="n">
        <v>4</v>
      </c>
      <c r="D14" s="2" t="n">
        <v>3</v>
      </c>
      <c r="E14" s="2" t="n">
        <v>4</v>
      </c>
      <c r="F14" s="2" t="n">
        <v>3</v>
      </c>
      <c r="G14" s="3">
        <f>SUM(B14:F14)</f>
        <v/>
      </c>
      <c r="H14" s="2" t="n">
        <v>3</v>
      </c>
      <c r="I14" s="2" t="n">
        <v>2</v>
      </c>
      <c r="J14" s="2" t="n">
        <v>3</v>
      </c>
      <c r="K14" s="2" t="n">
        <v>1</v>
      </c>
      <c r="L14" s="2" t="n">
        <v>0</v>
      </c>
      <c r="M14" s="3">
        <f>SUM(H14:L14)</f>
        <v/>
      </c>
      <c r="N14" s="2" t="n">
        <v>4</v>
      </c>
      <c r="O14" s="2" t="n">
        <v>4</v>
      </c>
      <c r="P14" s="2" t="n">
        <v>3</v>
      </c>
      <c r="Q14" s="2" t="n">
        <v>4</v>
      </c>
      <c r="R14" s="2" t="n">
        <v>3</v>
      </c>
      <c r="S14" s="3">
        <f>SUM(N14:R14)</f>
        <v/>
      </c>
      <c r="T14" s="4">
        <f>G14+M14+S14</f>
        <v/>
      </c>
      <c r="U14" s="5">
        <f>T14/60</f>
        <v/>
      </c>
      <c r="V14" s="2">
        <f>IF(T14&gt;=54,"A",IF(T14&gt;=48,"B",IF(T14&gt;=42,"C",IF(T14&gt;=36,"D","F"))))</f>
        <v/>
      </c>
      <c r="W14" s="6" t="inlineStr">
        <is>
          <t>P1: P1: PEOPLE, Volunteers, Adopters, Animals, HousingArea. Circle O=overlapping. Good attributes. Relationships present.
P2: P2: PROJECT(PK ProjectID, FK ManagerID, FK ClientID) — correct FK placement. CONSULTANT(ConsultantID, Specialty) — uses ConsultantID not EmployeeID. MANAGER(ManagerID, BonusRate) — uses ManagerID not EmployeeID. No CONSULTANT_PROJECT. Wrong subtype PKs.
P3: P3: Excellent labels: "FD: PetTypeID+TrainingTypeID+AccessoryID→RecommendedQty", "PD1: PetTypeID→PetTypeName", etc. 2NF: correct 4 tables with PD2 having TrainerID,TrainerName. 3NF: TD(TrainerID,TrainerName), PD2 has FK TrainerID. All deps correctly stated.</t>
        </is>
      </c>
    </row>
    <row r="15">
      <c r="A15" s="2" t="inlineStr">
        <is>
          <t>Amardeep Johal</t>
        </is>
      </c>
      <c r="B15" s="2" t="n">
        <v>3</v>
      </c>
      <c r="C15" s="2" t="n">
        <v>2</v>
      </c>
      <c r="D15" s="2" t="n">
        <v>2</v>
      </c>
      <c r="E15" s="2" t="n">
        <v>1</v>
      </c>
      <c r="F15" s="2" t="n">
        <v>1</v>
      </c>
      <c r="G15" s="3">
        <f>SUM(B15:F15)</f>
        <v/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3">
        <f>SUM(H15:L15)</f>
        <v/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3">
        <f>SUM(N15:R15)</f>
        <v/>
      </c>
      <c r="T15" s="4">
        <f>G15+M15+S15</f>
        <v/>
      </c>
      <c r="U15" s="5">
        <f>T15/60</f>
        <v/>
      </c>
      <c r="V15" s="2">
        <f>IF(T15&gt;=54,"A",IF(T15&gt;=48,"B",IF(T15&gt;=42,"C",IF(T15&gt;=36,"D","F"))))</f>
        <v/>
      </c>
      <c r="W15" s="6" t="inlineStr">
        <is>
          <t>P1: P1: PEOPLE, Volunteer, Adopters, Animal, Housing Area, Care(associative). Has Care entity with PersonId FK, AnimalID FK — associative correct. BUT Volunteer has VolunteerID PK, Adopters has AdoptersID PK — should inherit PersonID. Animal→Adopters relationship wrong. No O/D circle visible. PEOPLE→Volunteer is not proper supertype/subtype notation.
P2: P2: Only template/reference entities. No transformation done.
P3: P3: Only TABLE shown. No decomposition.</t>
        </is>
      </c>
    </row>
    <row r="16">
      <c r="A16" s="2" t="inlineStr">
        <is>
          <t>Aracely Juarez</t>
        </is>
      </c>
      <c r="B16" s="2" t="n">
        <v>4</v>
      </c>
      <c r="C16" s="2" t="n">
        <v>4</v>
      </c>
      <c r="D16" s="2" t="n">
        <v>3</v>
      </c>
      <c r="E16" s="2" t="n">
        <v>4</v>
      </c>
      <c r="F16" s="2" t="n">
        <v>2</v>
      </c>
      <c r="G16" s="3">
        <f>SUM(B16:F16)</f>
        <v/>
      </c>
      <c r="H16" s="2" t="n">
        <v>2</v>
      </c>
      <c r="I16" s="2" t="n">
        <v>1</v>
      </c>
      <c r="J16" s="2" t="n">
        <v>1</v>
      </c>
      <c r="K16" s="2" t="n">
        <v>0</v>
      </c>
      <c r="L16" s="2" t="n">
        <v>0</v>
      </c>
      <c r="M16" s="3">
        <f>SUM(H16:L16)</f>
        <v/>
      </c>
      <c r="N16" s="2" t="n">
        <v>4</v>
      </c>
      <c r="O16" s="2" t="n">
        <v>2</v>
      </c>
      <c r="P16" s="2" t="n">
        <v>1</v>
      </c>
      <c r="Q16" s="2" t="n">
        <v>1</v>
      </c>
      <c r="R16" s="2" t="n">
        <v>1</v>
      </c>
      <c r="S16" s="3">
        <f>SUM(N16:R16)</f>
        <v/>
      </c>
      <c r="T16" s="4">
        <f>G16+M16+S16</f>
        <v/>
      </c>
      <c r="U16" s="5">
        <f>T16/60</f>
        <v/>
      </c>
      <c r="V16" s="2">
        <f>IF(T16&gt;=54,"A",IF(T16&gt;=48,"B",IF(T16&gt;=42,"C",IF(T16&gt;=36,"D","F"))))</f>
        <v/>
      </c>
      <c r="W16" s="6" t="inlineStr">
        <is>
          <t>P1: P1: PEOPLE, VOLUNTEER, ADOPTERS, ANIMAL, HOUSING. Circle "o"=overlapping correct. Volunteer→Animal, Animal→Housing. Correct.
P2: P2: EMPLOYEE has FK1 ProjectID, FK2 ClientID — dumped FKs into EMPLOYEE (wrong). No separate CONSULTANT/MANAGER with FK to EMPLOYEE. No CONSULTANT_PROJECT. No subtype transformation.
P3: P3: 2NF attempt: PetTypeID, AccessoryID(with all extra attrs), TrainingTypeID(only TrainingTypeName PK). FD present but missing AccessoryID. PD3 has TrainerID,TrainerName,RecommendedQty — too many attrs. TD has TrainerID,TrainerName,RecommendedQty — RecommendedQty wrong. Used TrainingTypeName as PK instead of TrainingTypeID.</t>
        </is>
      </c>
    </row>
    <row r="17">
      <c r="A17" s="2" t="inlineStr">
        <is>
          <t>Justin Kim</t>
        </is>
      </c>
      <c r="B17" s="2" t="n">
        <v>4</v>
      </c>
      <c r="C17" s="2" t="n">
        <v>4</v>
      </c>
      <c r="D17" s="2" t="n">
        <v>2</v>
      </c>
      <c r="E17" s="2" t="n">
        <v>0</v>
      </c>
      <c r="F17" s="2" t="n">
        <v>2</v>
      </c>
      <c r="G17" s="3">
        <f>SUM(B17:F17)</f>
        <v/>
      </c>
      <c r="H17" s="2" t="n">
        <v>1</v>
      </c>
      <c r="I17" s="2" t="n">
        <v>0</v>
      </c>
      <c r="J17" s="2" t="n">
        <v>1</v>
      </c>
      <c r="K17" s="2" t="n">
        <v>1</v>
      </c>
      <c r="L17" s="2" t="n">
        <v>0</v>
      </c>
      <c r="M17" s="3">
        <f>SUM(H17:L17)</f>
        <v/>
      </c>
      <c r="N17" s="2" t="n">
        <v>4</v>
      </c>
      <c r="O17" s="2" t="n">
        <v>2</v>
      </c>
      <c r="P17" s="2" t="n">
        <v>2</v>
      </c>
      <c r="Q17" s="2" t="n">
        <v>0</v>
      </c>
      <c r="R17" s="2" t="n">
        <v>0</v>
      </c>
      <c r="S17" s="3">
        <f>SUM(N17:R17)</f>
        <v/>
      </c>
      <c r="T17" s="4">
        <f>G17+M17+S17</f>
        <v/>
      </c>
      <c r="U17" s="5">
        <f>T17/60</f>
        <v/>
      </c>
      <c r="V17" s="2">
        <f>IF(T17&gt;=54,"A",IF(T17&gt;=48,"B",IF(T17&gt;=42,"C",IF(T17&gt;=36,"D","F"))))</f>
        <v/>
      </c>
      <c r="W17" s="6" t="inlineStr">
        <is>
          <t>P1: P1: PEOPLE, Volunteers, Adopters, Animals, Housing Area. Attributes correct. Volunteer→Animals, Animals→Housing. But PEOPLE→Adopters only (not proper supertype/subtype). No O/D circle. No supertype/subtype notation at all.
P2: P2: Solution entities have no FKs or PKs added. MANAGER→CLIENT, MANAGER→CONSULTANT, MANAGER→EMPLOYEE connections but no FK attributes. Basically just drew connections without transforming.
P3: P3: 1NF and 2NF circles. 2NF: Pet(PD1), Training(PD2), Accesory(PD3 with TrainerID,TrainerName), FD(RecommendedQty with composite PK). Correct concept for 2NF. But no 3NF at all — missing TD, no Trainer table.</t>
        </is>
      </c>
    </row>
    <row r="18">
      <c r="A18" s="2" t="inlineStr">
        <is>
          <t>Andrew Le</t>
        </is>
      </c>
      <c r="B18" s="2" t="n">
        <v>4</v>
      </c>
      <c r="C18" s="2" t="n">
        <v>4</v>
      </c>
      <c r="D18" s="2" t="n">
        <v>3</v>
      </c>
      <c r="E18" s="2" t="n">
        <v>3</v>
      </c>
      <c r="F18" s="2" t="n">
        <v>3</v>
      </c>
      <c r="G18" s="3">
        <f>SUM(B18:F18)</f>
        <v/>
      </c>
      <c r="H18" s="2" t="n">
        <v>4</v>
      </c>
      <c r="I18" s="2" t="n">
        <v>3</v>
      </c>
      <c r="J18" s="2" t="n">
        <v>3</v>
      </c>
      <c r="K18" s="2" t="n">
        <v>3</v>
      </c>
      <c r="L18" s="2" t="n">
        <v>3</v>
      </c>
      <c r="M18" s="3">
        <f>SUM(H18:L18)</f>
        <v/>
      </c>
      <c r="N18" s="2" t="n">
        <v>4</v>
      </c>
      <c r="O18" s="2" t="n">
        <v>4</v>
      </c>
      <c r="P18" s="2" t="n">
        <v>4</v>
      </c>
      <c r="Q18" s="2" t="n">
        <v>4</v>
      </c>
      <c r="R18" s="2" t="n">
        <v>4</v>
      </c>
      <c r="S18" s="3">
        <f>SUM(N18:R18)</f>
        <v/>
      </c>
      <c r="T18" s="4">
        <f>G18+M18+S18</f>
        <v/>
      </c>
      <c r="U18" s="5">
        <f>T18/60</f>
        <v/>
      </c>
      <c r="V18" s="2">
        <f>IF(T18&gt;=54,"A",IF(T18&gt;=48,"B",IF(T18&gt;=42,"C",IF(T18&gt;=36,"D","F"))))</f>
        <v/>
      </c>
      <c r="W18" s="6" t="inlineStr">
        <is>
          <t>P1: P1: From visual review — PERSON, VOLUNTEER, ADOPTER, ANIMAL, HOUSING_AREA. Supertype/subtype present. Detailed diagram.
P2: P2: From visual review — both reference ERD and solution visible. Tables present with FK connections.
P3: P3: From visual review — very detailed 1NF→2NF→3NF with FK connections between tables. Complete decomposition.</t>
        </is>
      </c>
    </row>
    <row r="19">
      <c r="A19" s="2" t="inlineStr">
        <is>
          <t>Huy Le</t>
        </is>
      </c>
      <c r="B19" s="2" t="n">
        <v>4</v>
      </c>
      <c r="C19" s="2" t="n">
        <v>3</v>
      </c>
      <c r="D19" s="2" t="n">
        <v>2</v>
      </c>
      <c r="E19" s="2" t="n">
        <v>0</v>
      </c>
      <c r="F19" s="2" t="n">
        <v>2</v>
      </c>
      <c r="G19" s="3">
        <f>SUM(B19:F19)</f>
        <v/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3">
        <f>SUM(H19:L19)</f>
        <v/>
      </c>
      <c r="N19" s="2" t="n">
        <v>2</v>
      </c>
      <c r="O19" s="2" t="n">
        <v>1</v>
      </c>
      <c r="P19" s="2" t="n">
        <v>1</v>
      </c>
      <c r="Q19" s="2" t="n">
        <v>0</v>
      </c>
      <c r="R19" s="2" t="n">
        <v>0</v>
      </c>
      <c r="S19" s="3">
        <f>SUM(N19:R19)</f>
        <v/>
      </c>
      <c r="T19" s="4">
        <f>G19+M19+S19</f>
        <v/>
      </c>
      <c r="U19" s="5">
        <f>T19/60</f>
        <v/>
      </c>
      <c r="V19" s="2">
        <f>IF(T19&gt;=54,"A",IF(T19&gt;=48,"B",IF(T19&gt;=42,"C",IF(T19&gt;=36,"D","F"))))</f>
        <v/>
      </c>
      <c r="W19" s="6" t="inlineStr">
        <is>
          <t>P1: P1: PEOPLE, Animals, housing area, Volunteers, adopters. Missing Phone attr. Volunteer→Animals, Animals→housing. No supertype/subtype circle or notation at all. No O/D.
P2: P2: Template has PK(ProjectID) named wrong. CONSULTANT_PROJECT listed but no FKs added to solution. Essentially unmodified template.
P3: P3: TrainingTypeID, AccesoryID, PetTypeID tables created but only with names (no proper FKs). "recommendations" table with pk,fk references but wrong attr names (PetTypeName instead of PetTypeID in values). No 3NF.</t>
        </is>
      </c>
    </row>
    <row r="20">
      <c r="A20" s="2" t="inlineStr">
        <is>
          <t>Leon Luis Alberto</t>
        </is>
      </c>
      <c r="B20" s="2" t="n">
        <v>4</v>
      </c>
      <c r="C20" s="2" t="n">
        <v>4</v>
      </c>
      <c r="D20" s="2" t="n">
        <v>3</v>
      </c>
      <c r="E20" s="2" t="n">
        <v>2</v>
      </c>
      <c r="F20" s="2" t="n">
        <v>3</v>
      </c>
      <c r="G20" s="3">
        <f>SUM(B20:F20)</f>
        <v/>
      </c>
      <c r="H20" s="2" t="n">
        <v>2</v>
      </c>
      <c r="I20" s="2" t="n">
        <v>1</v>
      </c>
      <c r="J20" s="2" t="n">
        <v>1</v>
      </c>
      <c r="K20" s="2" t="n">
        <v>1</v>
      </c>
      <c r="L20" s="2" t="n">
        <v>0</v>
      </c>
      <c r="M20" s="3">
        <f>SUM(H20:L20)</f>
        <v/>
      </c>
      <c r="N20" s="2" t="n">
        <v>3</v>
      </c>
      <c r="O20" s="2" t="n">
        <v>0</v>
      </c>
      <c r="P20" s="2" t="n">
        <v>2</v>
      </c>
      <c r="Q20" s="2" t="n">
        <v>0</v>
      </c>
      <c r="R20" s="2" t="n">
        <v>2</v>
      </c>
      <c r="S20" s="3">
        <f>SUM(N20:R20)</f>
        <v/>
      </c>
      <c r="T20" s="4">
        <f>G20+M20+S20</f>
        <v/>
      </c>
      <c r="U20" s="5">
        <f>T20/60</f>
        <v/>
      </c>
      <c r="V20" s="2">
        <f>IF(T20&gt;=54,"A",IF(T20&gt;=48,"B",IF(T20&gt;=42,"C",IF(T20&gt;=36,"D","F"))))</f>
        <v/>
      </c>
      <c r="W20" s="6" t="inlineStr">
        <is>
          <t>P1: P1: From visual review. 5 entities correct. Circle "D" = DISJOINT — KEY ERROR (should be O). Partial specialization correct. Relationships correct.
P2: P2: From visual review. MANAGER has all FKs dumped in. CONSULTANT uses ConsultantID not EmployeeID. No CONSULTANT_PROJECT. Major errors.
P3: P3: From visual review. Shows decomposition but uses ShopID surrogate PK (wrong). TrainerID FK in wrong table. Only one model shown (no separate 2NF/3NF). No Q1-Q4 text answers. Conceptually close to 3NF.</t>
        </is>
      </c>
    </row>
    <row r="21">
      <c r="A21" s="2" t="inlineStr">
        <is>
          <t>Richie Le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3">
        <f>SUM(B21:F21)</f>
        <v/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3">
        <f>SUM(H21:L21)</f>
        <v/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3">
        <f>SUM(N21:R21)</f>
        <v/>
      </c>
      <c r="T21" s="4">
        <f>G21+M21+S21</f>
        <v/>
      </c>
      <c r="U21" s="5">
        <f>T21/60</f>
        <v/>
      </c>
      <c r="V21" s="2">
        <f>IF(T21&gt;=54,"A",IF(T21&gt;=48,"B",IF(T21&gt;=42,"C",IF(T21&gt;=36,"D","F"))))</f>
        <v/>
      </c>
      <c r="W21" s="6" t="inlineStr">
        <is>
          <t>P1: P1: Only docx with exam text. No diagram.
P2: P2: No diagram.
P3: P3: No answers.</t>
        </is>
      </c>
    </row>
    <row r="22">
      <c r="A22" s="2" t="inlineStr">
        <is>
          <t>Michelle Ly</t>
        </is>
      </c>
      <c r="B22" s="2" t="n">
        <v>4</v>
      </c>
      <c r="C22" s="2" t="n">
        <v>4</v>
      </c>
      <c r="D22" s="2" t="n">
        <v>3</v>
      </c>
      <c r="E22" s="2" t="n">
        <v>4</v>
      </c>
      <c r="F22" s="2" t="n">
        <v>3</v>
      </c>
      <c r="G22" s="3">
        <f>SUM(B22:F22)</f>
        <v/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3">
        <f>SUM(H22:L22)</f>
        <v/>
      </c>
      <c r="N22" s="2" t="n">
        <v>4</v>
      </c>
      <c r="O22" s="2" t="n">
        <v>2</v>
      </c>
      <c r="P22" s="2" t="n">
        <v>2</v>
      </c>
      <c r="Q22" s="2" t="n">
        <v>0</v>
      </c>
      <c r="R22" s="2" t="n">
        <v>0</v>
      </c>
      <c r="S22" s="3">
        <f>SUM(N22:R22)</f>
        <v/>
      </c>
      <c r="T22" s="4">
        <f>G22+M22+S22</f>
        <v/>
      </c>
      <c r="U22" s="5">
        <f>T22/60</f>
        <v/>
      </c>
      <c r="V22" s="2">
        <f>IF(T22&gt;=54,"A",IF(T22&gt;=48,"B",IF(T22&gt;=42,"C",IF(T22&gt;=36,"D","F"))))</f>
        <v/>
      </c>
      <c r="W22" s="6" t="inlineStr">
        <is>
          <t>P1: P1: PEOPLE, VOLUNTEERS, ADOPTERS, ANIMALS, HOUSING AREA. Circle "o"=overlapping. Discriminator labels present. Relationships correct.
P2: P2: Only template entities — unmodified. No FKs added.
P3: P3: Shows 1NF labels. 2NF: PD1,PD2,PD3,FD tables. But BOTH labeled "1NF" — no separate 2NF/3NF. PD3 still has TrainerID,TrainerName,RecommendedQty in both copies. No TD/Trainer table. No 3NF.</t>
        </is>
      </c>
    </row>
    <row r="23">
      <c r="A23" s="2" t="inlineStr">
        <is>
          <t>Sergio Martinez</t>
        </is>
      </c>
      <c r="B23" s="2" t="n">
        <v>4</v>
      </c>
      <c r="C23" s="2" t="n">
        <v>4</v>
      </c>
      <c r="D23" s="2" t="n">
        <v>4</v>
      </c>
      <c r="E23" s="2" t="n">
        <v>4</v>
      </c>
      <c r="F23" s="2" t="n">
        <v>3</v>
      </c>
      <c r="G23" s="3">
        <f>SUM(B23:F23)</f>
        <v/>
      </c>
      <c r="H23" s="2" t="n">
        <v>3</v>
      </c>
      <c r="I23" s="2" t="n">
        <v>3</v>
      </c>
      <c r="J23" s="2" t="n">
        <v>3</v>
      </c>
      <c r="K23" s="2" t="n">
        <v>3</v>
      </c>
      <c r="L23" s="2" t="n">
        <v>3</v>
      </c>
      <c r="M23" s="3">
        <f>SUM(H23:L23)</f>
        <v/>
      </c>
      <c r="N23" s="2" t="n">
        <v>3</v>
      </c>
      <c r="O23" s="2" t="n">
        <v>3</v>
      </c>
      <c r="P23" s="2" t="n">
        <v>3</v>
      </c>
      <c r="Q23" s="2" t="n">
        <v>3</v>
      </c>
      <c r="R23" s="2" t="n">
        <v>3</v>
      </c>
      <c r="S23" s="3">
        <f>SUM(N23:R23)</f>
        <v/>
      </c>
      <c r="T23" s="4">
        <f>G23+M23+S23</f>
        <v/>
      </c>
      <c r="U23" s="5">
        <f>T23/60</f>
        <v/>
      </c>
      <c r="V23" s="2">
        <f>IF(T23&gt;=54,"A",IF(T23&gt;=48,"B",IF(T23&gt;=42,"C",IF(T23&gt;=36,"D","F"))))</f>
        <v/>
      </c>
      <c r="W23" s="6" t="inlineStr">
        <is>
          <t>P1: P1: From visual review. Circle "O"=overlapping CORRECT. All entities, attributes, cardinalities correct. Clean.
P2: P2: From visual review. Has CONSULTANT_PROJECT. Hard to read details but structure appears correct.
P3: P3: From visual review. Multiple tables in decomposition. Hard to verify details.</t>
        </is>
      </c>
    </row>
    <row r="24">
      <c r="A24" s="2" t="inlineStr">
        <is>
          <t>Umaima Naeem</t>
        </is>
      </c>
      <c r="B24" s="2" t="n">
        <v>5</v>
      </c>
      <c r="C24" s="2" t="n">
        <v>3</v>
      </c>
      <c r="D24" s="2" t="n">
        <v>3</v>
      </c>
      <c r="E24" s="2" t="n">
        <v>3</v>
      </c>
      <c r="F24" s="2" t="n">
        <v>3</v>
      </c>
      <c r="G24" s="3">
        <f>SUM(B24:F24)</f>
        <v/>
      </c>
      <c r="H24" s="2" t="n">
        <v>3</v>
      </c>
      <c r="I24" s="2" t="n">
        <v>2</v>
      </c>
      <c r="J24" s="2" t="n">
        <v>2</v>
      </c>
      <c r="K24" s="2" t="n">
        <v>2</v>
      </c>
      <c r="L24" s="2" t="n">
        <v>2</v>
      </c>
      <c r="M24" s="3">
        <f>SUM(H24:L24)</f>
        <v/>
      </c>
      <c r="N24" s="2" t="n">
        <v>4</v>
      </c>
      <c r="O24" s="2" t="n">
        <v>3</v>
      </c>
      <c r="P24" s="2" t="n">
        <v>2</v>
      </c>
      <c r="Q24" s="2" t="n">
        <v>0</v>
      </c>
      <c r="R24" s="2" t="n">
        <v>2</v>
      </c>
      <c r="S24" s="3">
        <f>SUM(N24:R24)</f>
        <v/>
      </c>
      <c r="T24" s="4">
        <f>G24+M24+S24</f>
        <v/>
      </c>
      <c r="U24" s="5">
        <f>T24/60</f>
        <v/>
      </c>
      <c r="V24" s="2">
        <f>IF(T24&gt;=54,"A",IF(T24&gt;=48,"B",IF(T24&gt;=42,"C",IF(T24&gt;=36,"D","F"))))</f>
        <v/>
      </c>
      <c r="W24" s="6" t="inlineStr">
        <is>
          <t>P1: P1: 6 entities: PEOPLE, ADOPTER, Volunteer, ANIMAL, HOUSING_AREA, CARE_TAKER(associative). Good. PersonType discriminator. Label "O"=overlapping. ANIMAL has HOUSING_AREA_ID as attr — could be FK. Adopter→Animal relationship extra.
P2: P2: CONSULTANT(EMPLOYEE ID, Specialty), MANAGER(EMPLOYEE ID, BonusRate) — use EMPLOYEE ID but not marked as PK/FK properly. ASSIGNMENT(EmployeeID,ProjectID) — is this CONSULTANT_PROJECT? Missing HoursAssigned. CLIENT→PROJECT correct. "d" label for disjoint.
P3: P3: Q1="1NF" with explanation — excellent. Shows TRAINING TYPE, ACCESSORY, PET TYPE, TRAINER, RECOMMENDATION tables. But missing RecommendedQty in RECOMMENDATION table. No explicit Q2 deps, no Q4 transitive dep text.</t>
        </is>
      </c>
    </row>
    <row r="25">
      <c r="A25" s="2" t="inlineStr">
        <is>
          <t>Kayla No</t>
        </is>
      </c>
      <c r="B25" s="2" t="n">
        <v>4</v>
      </c>
      <c r="C25" s="2" t="n">
        <v>4</v>
      </c>
      <c r="D25" s="2" t="n">
        <v>2</v>
      </c>
      <c r="E25" s="2" t="n">
        <v>4</v>
      </c>
      <c r="F25" s="2" t="n">
        <v>2</v>
      </c>
      <c r="G25" s="3">
        <f>SUM(B25:F25)</f>
        <v/>
      </c>
      <c r="H25" s="2" t="n">
        <v>2</v>
      </c>
      <c r="I25" s="2" t="n">
        <v>2</v>
      </c>
      <c r="J25" s="2" t="n">
        <v>1</v>
      </c>
      <c r="K25" s="2" t="n">
        <v>0</v>
      </c>
      <c r="L25" s="2" t="n">
        <v>0</v>
      </c>
      <c r="M25" s="3">
        <f>SUM(H25:L25)</f>
        <v/>
      </c>
      <c r="N25" s="2" t="n">
        <v>4</v>
      </c>
      <c r="O25" s="2" t="n">
        <v>3</v>
      </c>
      <c r="P25" s="2" t="n">
        <v>3</v>
      </c>
      <c r="Q25" s="2" t="n">
        <v>3</v>
      </c>
      <c r="R25" s="2" t="n">
        <v>3</v>
      </c>
      <c r="S25" s="3">
        <f>SUM(N25:R25)</f>
        <v/>
      </c>
      <c r="T25" s="4">
        <f>G25+M25+S25</f>
        <v/>
      </c>
      <c r="U25" s="5">
        <f>T25/60</f>
        <v/>
      </c>
      <c r="V25" s="2">
        <f>IF(T25&gt;=54,"A",IF(T25&gt;=48,"B",IF(T25&gt;=42,"C",IF(T25&gt;=36,"D","F"))))</f>
        <v/>
      </c>
      <c r="W25" s="6" t="inlineStr">
        <is>
          <t>P1: P1: Uses Chen notation (circles around attributes, no table format). PersonID, Email, Phone, AnimalID, AnimalName, Species, ArrivalDate, HousingAreaID, AreaName, TrainingLevel, HomeType all as labels. Circle O=overlapping. Circle d=disjoint on reference. Volunteer→Consultant connection (wrong entity name leak from P2?). Structure somewhat messy mixing P1/P2 entities.
P2: P2: EMPLOYEE, CONSULTANT, MANAGER, PROJECT, CLIENT shown. No explicit FKs or subtype transformation. Just connections drawn.
P3: P3: "1. 1NF" correct. "4. Yes, there are TD." PD1,PD2,PD3 in 2NF. FD with composite PK correct. 3NF: PD3 has FK TrainerID, TD(TrainerID,TrainerName). Correct.</t>
        </is>
      </c>
    </row>
    <row r="26">
      <c r="A26" s="2" t="inlineStr">
        <is>
          <t>Pandey</t>
        </is>
      </c>
      <c r="B26" s="2" t="n">
        <v>3</v>
      </c>
      <c r="C26" s="2" t="n">
        <v>2</v>
      </c>
      <c r="D26" s="2" t="n">
        <v>2</v>
      </c>
      <c r="E26" s="2" t="n">
        <v>0</v>
      </c>
      <c r="F26" s="2" t="n">
        <v>1</v>
      </c>
      <c r="G26" s="3">
        <f>SUM(B26:F26)</f>
        <v/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3">
        <f>SUM(H26:L26)</f>
        <v/>
      </c>
      <c r="N26" s="2" t="n">
        <v>1</v>
      </c>
      <c r="O26" s="2" t="n">
        <v>0</v>
      </c>
      <c r="P26" s="2" t="n">
        <v>0</v>
      </c>
      <c r="Q26" s="2" t="n">
        <v>0</v>
      </c>
      <c r="R26" s="2" t="n">
        <v>0</v>
      </c>
      <c r="S26" s="3">
        <f>SUM(N26:R26)</f>
        <v/>
      </c>
      <c r="T26" s="4">
        <f>G26+M26+S26</f>
        <v/>
      </c>
      <c r="U26" s="5">
        <f>T26/60</f>
        <v/>
      </c>
      <c r="V26" s="2">
        <f>IF(T26&gt;=54,"A",IF(T26&gt;=48,"B",IF(T26&gt;=42,"C",IF(T26&gt;=36,"D","F"))))</f>
        <v/>
      </c>
      <c r="W26" s="6" t="inlineStr">
        <is>
          <t>P1: P1: Has entities in drawio but also mixed consulting firm entities in P1 page. Adopters→PEOPLE connection present. Volunteer→Animals, Animals→Housing. No O/D circle. Messy organization mixing P1/P2 content.
P2: P2: Template unmodified. No FKs added.
P3: P3: From visual review: Q1="2nd normal form" — WRONG. Q2-Q5 ALL BLANK. Empty P3 table in drawio.</t>
        </is>
      </c>
    </row>
    <row r="27">
      <c r="A27" s="2" t="inlineStr">
        <is>
          <t>Arnoldo Paniagua</t>
        </is>
      </c>
      <c r="B27" s="2" t="n">
        <v>4</v>
      </c>
      <c r="C27" s="2" t="n">
        <v>4</v>
      </c>
      <c r="D27" s="2" t="n">
        <v>3</v>
      </c>
      <c r="E27" s="2" t="n">
        <v>2</v>
      </c>
      <c r="F27" s="2" t="n">
        <v>3</v>
      </c>
      <c r="G27" s="3">
        <f>SUM(B27:F27)</f>
        <v/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3">
        <f>SUM(H27:L27)</f>
        <v/>
      </c>
      <c r="N27" s="2" t="n">
        <v>4</v>
      </c>
      <c r="O27" s="2" t="n">
        <v>2</v>
      </c>
      <c r="P27" s="2" t="n">
        <v>3</v>
      </c>
      <c r="Q27" s="2" t="n">
        <v>3</v>
      </c>
      <c r="R27" s="2" t="n">
        <v>3</v>
      </c>
      <c r="S27" s="3">
        <f>SUM(N27:R27)</f>
        <v/>
      </c>
      <c r="T27" s="4">
        <f>G27+M27+S27</f>
        <v/>
      </c>
      <c r="U27" s="5">
        <f>T27/60</f>
        <v/>
      </c>
      <c r="V27" s="2">
        <f>IF(T27&gt;=54,"A",IF(T27&gt;=48,"B",IF(T27&gt;=42,"C",IF(T27&gt;=36,"D","F"))))</f>
        <v/>
      </c>
      <c r="W27" s="6" t="inlineStr">
        <is>
          <t>P1: P1: PEOPLE, ADOPTERS(PK Person ID), VOLUNTEERS(PK Person ID), ANIMAL, HOUSING AREA. Subtypes have PK Person ID — correct inheritance! No O/D circle visible. Relationships present.
P2: P2: Template unmodified.
P3: P3: Shows PET_TYPE, TRAINING_TYPE(TrainerID), TRAINER(TrainerID,TrainerName), ACESSORY tables. Looks like final 3NF but missing 2NF intermediate step. No FD/intersection table visible. Missing RecommendedQty.</t>
        </is>
      </c>
    </row>
    <row r="28">
      <c r="A28" s="2" t="inlineStr">
        <is>
          <t>Fiona Parkin</t>
        </is>
      </c>
      <c r="B28" s="2" t="n">
        <v>4</v>
      </c>
      <c r="C28" s="2" t="n">
        <v>3</v>
      </c>
      <c r="D28" s="2" t="n">
        <v>2</v>
      </c>
      <c r="E28" s="2" t="n">
        <v>4</v>
      </c>
      <c r="F28" s="2" t="n">
        <v>2</v>
      </c>
      <c r="G28" s="3">
        <f>SUM(B28:F28)</f>
        <v/>
      </c>
      <c r="H28" s="2" t="n">
        <v>4</v>
      </c>
      <c r="I28" s="2" t="n">
        <v>3</v>
      </c>
      <c r="J28" s="2" t="n">
        <v>3</v>
      </c>
      <c r="K28" s="2" t="n">
        <v>4</v>
      </c>
      <c r="L28" s="2" t="n">
        <v>2</v>
      </c>
      <c r="M28" s="3">
        <f>SUM(H28:L28)</f>
        <v/>
      </c>
      <c r="N28" s="2" t="n">
        <v>4</v>
      </c>
      <c r="O28" s="2" t="n">
        <v>4</v>
      </c>
      <c r="P28" s="2" t="n">
        <v>3</v>
      </c>
      <c r="Q28" s="2" t="n">
        <v>4</v>
      </c>
      <c r="R28" s="2" t="n">
        <v>3</v>
      </c>
      <c r="S28" s="3">
        <f>SUM(N28:R28)</f>
        <v/>
      </c>
      <c r="T28" s="4">
        <f>G28+M28+S28</f>
        <v/>
      </c>
      <c r="U28" s="5">
        <f>T28/60</f>
        <v/>
      </c>
      <c r="V28" s="2">
        <f>IF(T28&gt;=54,"A",IF(T28&gt;=48,"B",IF(T28&gt;=42,"C",IF(T28&gt;=36,"D","F"))))</f>
        <v/>
      </c>
      <c r="W28" s="6" t="inlineStr">
        <is>
          <t>P1: P1: PEOPLE, VOLUNTEER, ANIMAL, HOUSING_AREA, ADOPTERS. Circle O=overlapping correct. PeopleType(A?,V?) discriminator. Missing Volunteer→Animal relationship. Only Animal→Housing shown.
P2: P2: PROJECT(PK ProjectID, FK M_EmployeeID, FK ClientID). CONSULTANT(PK,FK C_EmployeeID, Specialty). MANAGER(PK,FK M_EmployeeID, BonusRate). Subtypes use EmployeeID as PK/FK — correct! ClientID in PROJECT — correct. Missing CONSULTANT_PROJECT though.
P3: P3: Drawio shows excellent labels: "FD:PetTypeID+TrainingTypeID+AccesoryID→RecommendedQty", "PD1:PetTypeID→PetTypeName", etc. 2NF with PD2 having TrainerID,TrainerName. 3NF with TD(TrainerID,TrainerName). From PDF: only Q1="first normal form" in text, but drawio has full work.</t>
        </is>
      </c>
    </row>
    <row r="29">
      <c r="A29" s="2" t="inlineStr">
        <is>
          <t>Andrick Pasillas</t>
        </is>
      </c>
      <c r="B29" s="2" t="n">
        <v>3</v>
      </c>
      <c r="C29" s="2" t="n">
        <v>2</v>
      </c>
      <c r="D29" s="2" t="n">
        <v>1</v>
      </c>
      <c r="E29" s="2" t="n">
        <v>0</v>
      </c>
      <c r="F29" s="2" t="n">
        <v>1</v>
      </c>
      <c r="G29" s="3">
        <f>SUM(B29:F29)</f>
        <v/>
      </c>
      <c r="H29" s="2" t="n">
        <v>3</v>
      </c>
      <c r="I29" s="2" t="n">
        <v>2</v>
      </c>
      <c r="J29" s="2" t="n">
        <v>2</v>
      </c>
      <c r="K29" s="2" t="n">
        <v>1</v>
      </c>
      <c r="L29" s="2" t="n">
        <v>2</v>
      </c>
      <c r="M29" s="3">
        <f>SUM(H29:L29)</f>
        <v/>
      </c>
      <c r="N29" s="2" t="n">
        <v>4</v>
      </c>
      <c r="O29" s="2" t="n">
        <v>2</v>
      </c>
      <c r="P29" s="2" t="n">
        <v>2</v>
      </c>
      <c r="Q29" s="2" t="n">
        <v>0</v>
      </c>
      <c r="R29" s="2" t="n">
        <v>0</v>
      </c>
      <c r="S29" s="3">
        <f>SUM(N29:R29)</f>
        <v/>
      </c>
      <c r="T29" s="4">
        <f>G29+M29+S29</f>
        <v/>
      </c>
      <c r="U29" s="5">
        <f>T29/60</f>
        <v/>
      </c>
      <c r="V29" s="2">
        <f>IF(T29&gt;=54,"A",IF(T29&gt;=48,"B",IF(T29&gt;=42,"C",IF(T29&gt;=36,"D","F"))))</f>
        <v/>
      </c>
      <c r="W29" s="6" t="inlineStr">
        <is>
          <t>P1: P1: PEOPLE, Adopters, HousingAreaID(entity named wrong), Animals, Volunteers. Adopters→Animals, Animals→Volunteers — wrong relationships. HousingAreaID is named after attr not entity. No supertype/subtype notation.
P2: P2: PROJECT(FK, PK ProjectID). CONSULTANT_PROJECT present with HoursAssigned. CONSULTANT(PK,FK Specialty — wrong attr as PK). MANAGER→PROJECT, CLIENT→PROJECT connections. EMPLOYEE→MANAGER, MANAGER→CONSULTANT — wrong direction. Partial attempt.
P3: P3: "Dependencies" label shown. 2NF: Pet, Training, Accessories(with TrainerID,TrainerName,RecommendedQty). No FD/intersection table. No 3NF. Accessories still has transitive dep.</t>
        </is>
      </c>
    </row>
    <row r="30">
      <c r="A30" s="2" t="inlineStr">
        <is>
          <t>Benjamin Sanchez</t>
        </is>
      </c>
      <c r="B30" s="2" t="n">
        <v>4</v>
      </c>
      <c r="C30" s="2" t="n">
        <v>4</v>
      </c>
      <c r="D30" s="2" t="n">
        <v>2</v>
      </c>
      <c r="E30" s="2" t="n">
        <v>0</v>
      </c>
      <c r="F30" s="2" t="n">
        <v>2</v>
      </c>
      <c r="G30" s="3">
        <f>SUM(B30:F30)</f>
        <v/>
      </c>
      <c r="H30" s="2" t="n">
        <v>1</v>
      </c>
      <c r="I30" s="2" t="n">
        <v>1</v>
      </c>
      <c r="J30" s="2" t="n">
        <v>1</v>
      </c>
      <c r="K30" s="2" t="n">
        <v>0</v>
      </c>
      <c r="L30" s="2" t="n">
        <v>0</v>
      </c>
      <c r="M30" s="3">
        <f>SUM(H30:L30)</f>
        <v/>
      </c>
      <c r="N30" s="2" t="n">
        <v>4</v>
      </c>
      <c r="O30" s="2" t="n">
        <v>3</v>
      </c>
      <c r="P30" s="2" t="n">
        <v>2</v>
      </c>
      <c r="Q30" s="2" t="n">
        <v>3</v>
      </c>
      <c r="R30" s="2" t="n">
        <v>2</v>
      </c>
      <c r="S30" s="3">
        <f>SUM(N30:R30)</f>
        <v/>
      </c>
      <c r="T30" s="4">
        <f>G30+M30+S30</f>
        <v/>
      </c>
      <c r="U30" s="5">
        <f>T30/60</f>
        <v/>
      </c>
      <c r="V30" s="2">
        <f>IF(T30&gt;=54,"A",IF(T30&gt;=48,"B",IF(T30&gt;=42,"C",IF(T30&gt;=36,"D","F"))))</f>
        <v/>
      </c>
      <c r="W30" s="6" t="inlineStr">
        <is>
          <t>P1: P1: PEOPLE, ADOPTER, VOLUNTEER, ANIMALS, HOUSING_AREA. Correct attrs. PEOPLE→ADOPTER, PEOPLE→VOLUNTEER connections but no supertype circle. ADOPTER→ANIMALS (wrong relationship). No O/D notation.
P2: P2: Template mostly unmodified. MANAGER→PROJECT, PROJECT→CLIENT connections added. No FKs in entities. No subtype transformation.
P3: P3: 1NF/2NF/3NF circles. PD1,PD2,PD3 in 2NF. PD3 has TrainerID,TrainerName,RecommendedQty. 3NF: PD3 has FK TrainerID, TD(TrainierID,TrainerName). But PD3 still has RecommendedQty — wrong.</t>
        </is>
      </c>
    </row>
    <row r="31">
      <c r="A31" s="2" t="inlineStr">
        <is>
          <t>Grace Speicher</t>
        </is>
      </c>
      <c r="B31" s="2" t="n">
        <v>5</v>
      </c>
      <c r="C31" s="2" t="n">
        <v>4</v>
      </c>
      <c r="D31" s="2" t="n">
        <v>3</v>
      </c>
      <c r="E31" s="2" t="n">
        <v>3</v>
      </c>
      <c r="F31" s="2" t="n">
        <v>3</v>
      </c>
      <c r="G31" s="3">
        <f>SUM(B31:F31)</f>
        <v/>
      </c>
      <c r="H31" s="2" t="n">
        <v>4</v>
      </c>
      <c r="I31" s="2" t="n">
        <v>3</v>
      </c>
      <c r="J31" s="2" t="n">
        <v>3</v>
      </c>
      <c r="K31" s="2" t="n">
        <v>3</v>
      </c>
      <c r="L31" s="2" t="n">
        <v>3</v>
      </c>
      <c r="M31" s="3">
        <f>SUM(H31:L31)</f>
        <v/>
      </c>
      <c r="N31" s="2" t="n">
        <v>4</v>
      </c>
      <c r="O31" s="2" t="n">
        <v>3</v>
      </c>
      <c r="P31" s="2" t="n">
        <v>3</v>
      </c>
      <c r="Q31" s="2" t="n">
        <v>3</v>
      </c>
      <c r="R31" s="2" t="n">
        <v>3</v>
      </c>
      <c r="S31" s="3">
        <f>SUM(N31:R31)</f>
        <v/>
      </c>
      <c r="T31" s="4">
        <f>G31+M31+S31</f>
        <v/>
      </c>
      <c r="U31" s="5">
        <f>T31/60</f>
        <v/>
      </c>
      <c r="V31" s="2">
        <f>IF(T31&gt;=54,"A",IF(T31&gt;=48,"B",IF(T31&gt;=42,"C",IF(T31&gt;=36,"D","F"))))</f>
        <v/>
      </c>
      <c r="W31" s="6" t="inlineStr">
        <is>
          <t>P1: P1: From visual review. PEOPLE, VOLUNTEER, ADOPTER, ANIMAL, HOUSING_AREA + CARE_ASSIGNMENT. Has associative entity. Supertype/subtype circle present.
P2: P2: From visual review. EMPLOYEE, CONSULTANT, MANAGER, CLIENT, PROJECT, CONSULTANT_PROJECT all visible.
P3: P3: From visual review. Q1="1NF" correct. Q2 deps listed. Q4 transitive dep identified. 2NF and 3NF models shown.</t>
        </is>
      </c>
    </row>
    <row r="32">
      <c r="A32" s="2" t="inlineStr">
        <is>
          <t>Dustin Taschler</t>
        </is>
      </c>
      <c r="B32" s="2" t="n">
        <v>4</v>
      </c>
      <c r="C32" s="2" t="n">
        <v>4</v>
      </c>
      <c r="D32" s="2" t="n">
        <v>3</v>
      </c>
      <c r="E32" s="2" t="n">
        <v>2</v>
      </c>
      <c r="F32" s="2" t="n">
        <v>2</v>
      </c>
      <c r="G32" s="3">
        <f>SUM(B32:F32)</f>
        <v/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3">
        <f>SUM(H32:L32)</f>
        <v/>
      </c>
      <c r="N32" s="2" t="n">
        <v>4</v>
      </c>
      <c r="O32" s="2" t="n">
        <v>4</v>
      </c>
      <c r="P32" s="2" t="n">
        <v>3</v>
      </c>
      <c r="Q32" s="2" t="n">
        <v>4</v>
      </c>
      <c r="R32" s="2" t="n">
        <v>3</v>
      </c>
      <c r="S32" s="3">
        <f>SUM(N32:R32)</f>
        <v/>
      </c>
      <c r="T32" s="4">
        <f>G32+M32+S32</f>
        <v/>
      </c>
      <c r="U32" s="5">
        <f>T32/60</f>
        <v/>
      </c>
      <c r="V32" s="2">
        <f>IF(T32&gt;=54,"A",IF(T32&gt;=48,"B",IF(T32&gt;=42,"C",IF(T32&gt;=36,"D","F"))))</f>
        <v/>
      </c>
      <c r="W32" s="6" t="inlineStr">
        <is>
          <t>P1: P1: PEOPLE, Volunteers, Adopters, Animals, Housing area. Correct attrs. Circle "d"=DISJOINT — WRONG. "V"/"A" discriminator labels. Relationships correct.
P2: P2: Template unmodified. No FKs added.
P3: P3: Excellent labels: PD1-PD3, FD, TD all clearly labeled. 2NF with PD3 having TrainerID,TrainerName,RecommendedQty. 3NF: TD(TrainerID,TrainerName,RecommendedCity[typo]) — has RecommendedQty in TD (wrong) but TrainerID FK in PD3. Close.</t>
        </is>
      </c>
    </row>
    <row r="33">
      <c r="A33" s="2" t="inlineStr">
        <is>
          <t>Liz Thai</t>
        </is>
      </c>
      <c r="B33" s="2" t="n">
        <v>4</v>
      </c>
      <c r="C33" s="2" t="n">
        <v>4</v>
      </c>
      <c r="D33" s="2" t="n">
        <v>3</v>
      </c>
      <c r="E33" s="2" t="n">
        <v>0</v>
      </c>
      <c r="F33" s="2" t="n">
        <v>2</v>
      </c>
      <c r="G33" s="3">
        <f>SUM(B33:F33)</f>
        <v/>
      </c>
      <c r="H33" s="2" t="n">
        <v>4</v>
      </c>
      <c r="I33" s="2" t="n">
        <v>3</v>
      </c>
      <c r="J33" s="2" t="n">
        <v>3</v>
      </c>
      <c r="K33" s="2" t="n">
        <v>3</v>
      </c>
      <c r="L33" s="2" t="n">
        <v>3</v>
      </c>
      <c r="M33" s="3">
        <f>SUM(H33:L33)</f>
        <v/>
      </c>
      <c r="N33" s="2" t="n">
        <v>4</v>
      </c>
      <c r="O33" s="2" t="n">
        <v>4</v>
      </c>
      <c r="P33" s="2" t="n">
        <v>3</v>
      </c>
      <c r="Q33" s="2" t="n">
        <v>4</v>
      </c>
      <c r="R33" s="2" t="n">
        <v>3</v>
      </c>
      <c r="S33" s="3">
        <f>SUM(N33:R33)</f>
        <v/>
      </c>
      <c r="T33" s="4">
        <f>G33+M33+S33</f>
        <v/>
      </c>
      <c r="U33" s="5">
        <f>T33/60</f>
        <v/>
      </c>
      <c r="V33" s="2">
        <f>IF(T33&gt;=54,"A",IF(T33&gt;=48,"B",IF(T33&gt;=42,"C",IF(T33&gt;=36,"D","F"))))</f>
        <v/>
      </c>
      <c r="W33" s="6" t="inlineStr">
        <is>
          <t>P1: P1: PEOPLE, VOLUNTEER, ADOPTER, ANIMALS, HOUSING. Correct attrs. Volunteer→Animals, Animals→Housing. Has Book/Publisher/Author entities on Page 1 (practice?). No supertype/subtype circle.
P2: P2: PROJECT(PK ProjectID, FK ManagerID). CONSULTANT_PROJECT(HoursAssigned, FK ConsultantID). CONSULTANT(Specialty, FK EmployeeID, ConsultantID). MANAGER(BonusRate, FK EmployeeID, ManagerID). CLIENT(FK ProjectID) — backwards. Subtypes have FK to Employee — correct concept. CONSULTANT_PROJECT present.
P3: P3: 1NF/2NF/3NF circles. PD1,PD2(with TrainerID,TrainerName),PD3,FD correct for 2NF. 3NF: PD2 has FK TrainerID, TD(TrainerID,TrainerName). Correct separation.</t>
        </is>
      </c>
    </row>
    <row r="34">
      <c r="A34" s="2" t="inlineStr">
        <is>
          <t>David Ung</t>
        </is>
      </c>
      <c r="B34" s="2" t="n">
        <v>4</v>
      </c>
      <c r="C34" s="2" t="n">
        <v>4</v>
      </c>
      <c r="D34" s="2" t="n">
        <v>3</v>
      </c>
      <c r="E34" s="2" t="n">
        <v>4</v>
      </c>
      <c r="F34" s="2" t="n">
        <v>3</v>
      </c>
      <c r="G34" s="3">
        <f>SUM(B34:F34)</f>
        <v/>
      </c>
      <c r="H34" s="2" t="n">
        <v>3</v>
      </c>
      <c r="I34" s="2" t="n">
        <v>3</v>
      </c>
      <c r="J34" s="2" t="n">
        <v>3</v>
      </c>
      <c r="K34" s="2" t="n">
        <v>3</v>
      </c>
      <c r="L34" s="2" t="n">
        <v>0</v>
      </c>
      <c r="M34" s="3">
        <f>SUM(H34:L34)</f>
        <v/>
      </c>
      <c r="N34" s="2" t="n">
        <v>4</v>
      </c>
      <c r="O34" s="2" t="n">
        <v>4</v>
      </c>
      <c r="P34" s="2" t="n">
        <v>3</v>
      </c>
      <c r="Q34" s="2" t="n">
        <v>3</v>
      </c>
      <c r="R34" s="2" t="n">
        <v>3</v>
      </c>
      <c r="S34" s="3">
        <f>SUM(N34:R34)</f>
        <v/>
      </c>
      <c r="T34" s="4">
        <f>G34+M34+S34</f>
        <v/>
      </c>
      <c r="U34" s="5">
        <f>T34/60</f>
        <v/>
      </c>
      <c r="V34" s="2">
        <f>IF(T34&gt;=54,"A",IF(T34&gt;=48,"B",IF(T34&gt;=42,"C",IF(T34&gt;=36,"D","F"))))</f>
        <v/>
      </c>
      <c r="W34" s="6" t="inlineStr">
        <is>
          <t>P1: P1: PEOPLE, Volunteers, Housing, Animal, Adopters. Circle O=overlapping correct. Discriminator labels. Volunteer→Animal, Animal→Housing.
P2: P2: PROJECT(PK ProjectID, FK ClientID, FK EmployeeID). CONSULTANT(Specialty, FK EmployeeID). MANAGER(BonusRate, FK EmployeeID). Subtypes use FK EmployeeID — correct. CLIENT→PROJECT FK correct. Missing CONSULTANT_PROJECT. No M:N transformation.
P3: P3: Excellent labels: PD1,PD2,PD3,FD,TD. 1NF/2NF/3NF circles. 2NF: PD3-Accessory(AccessoryID,AccessoryName,TrainerID,TrainerName), FD with composite PK. 3NF: TD-Trainer(TrainerID,TrainerName), PD3 has FK TrainerID. Correct.</t>
        </is>
      </c>
    </row>
    <row r="35">
      <c r="A35" s="2" t="inlineStr">
        <is>
          <t>Maisie Vo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3">
        <f>SUM(B35:F35)</f>
        <v/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3">
        <f>SUM(H35:L35)</f>
        <v/>
      </c>
      <c r="N35" s="2" t="n">
        <v>4</v>
      </c>
      <c r="O35" s="2" t="n">
        <v>0</v>
      </c>
      <c r="P35" s="2" t="n">
        <v>0</v>
      </c>
      <c r="Q35" s="2" t="n">
        <v>0</v>
      </c>
      <c r="R35" s="2" t="n">
        <v>0</v>
      </c>
      <c r="S35" s="3">
        <f>SUM(N35:R35)</f>
        <v/>
      </c>
      <c r="T35" s="4">
        <f>G35+M35+S35</f>
        <v/>
      </c>
      <c r="U35" s="5">
        <f>T35/60</f>
        <v/>
      </c>
      <c r="V35" s="2">
        <f>IF(T35&gt;=54,"A",IF(T35&gt;=48,"B",IF(T35&gt;=42,"C",IF(T35&gt;=36,"D","F"))))</f>
        <v/>
      </c>
      <c r="W35" s="6" t="inlineStr">
        <is>
          <t>P1: P1: From visual review — EMPTY.
P2: P2: From visual review — EMPTY.
P3: P3: From visual review — Q1="first normal form" CORRECT. Q2-Q5 ALL BLANK.</t>
        </is>
      </c>
    </row>
    <row r="36">
      <c r="A36" s="2" t="inlineStr">
        <is>
          <t>Sydney Vo</t>
        </is>
      </c>
      <c r="B36" s="2" t="n">
        <v>4</v>
      </c>
      <c r="C36" s="2" t="n">
        <v>4</v>
      </c>
      <c r="D36" s="2" t="n">
        <v>3</v>
      </c>
      <c r="E36" s="2" t="n">
        <v>4</v>
      </c>
      <c r="F36" s="2" t="n">
        <v>3</v>
      </c>
      <c r="G36" s="3">
        <f>SUM(B36:F36)</f>
        <v/>
      </c>
      <c r="H36" s="2" t="n">
        <v>3</v>
      </c>
      <c r="I36" s="2" t="n">
        <v>2</v>
      </c>
      <c r="J36" s="2" t="n">
        <v>2</v>
      </c>
      <c r="K36" s="2" t="n">
        <v>2</v>
      </c>
      <c r="L36" s="2" t="n">
        <v>0</v>
      </c>
      <c r="M36" s="3">
        <f>SUM(H36:L36)</f>
        <v/>
      </c>
      <c r="N36" s="2" t="n">
        <v>4</v>
      </c>
      <c r="O36" s="2" t="n">
        <v>3</v>
      </c>
      <c r="P36" s="2" t="n">
        <v>3</v>
      </c>
      <c r="Q36" s="2" t="n">
        <v>3</v>
      </c>
      <c r="R36" s="2" t="n">
        <v>3</v>
      </c>
      <c r="S36" s="3">
        <f>SUM(N36:R36)</f>
        <v/>
      </c>
      <c r="T36" s="4">
        <f>G36+M36+S36</f>
        <v/>
      </c>
      <c r="U36" s="5">
        <f>T36/60</f>
        <v/>
      </c>
      <c r="V36" s="2">
        <f>IF(T36&gt;=54,"A",IF(T36&gt;=48,"B",IF(T36&gt;=42,"C",IF(T36&gt;=36,"D","F"))))</f>
        <v/>
      </c>
      <c r="W36" s="6" t="inlineStr">
        <is>
          <t>P1: P1: PEOPLE, ADOPTERS, ANIMAL, HOUSING AREA, VOLUNTEERS. Circle O=overlapping correct. PersonType discriminator. Volunteer→Animal, Animal→Housing.
P2: P2: PROJECT(PK ProjectID, FK MEmployeeID, FK ClientID). CONSULTANT(PK CEmployeeID, Specialty). MANAGER(PK MEmployeeID, BonusRate). Uses CEmployeeID/MEmployeeID — creative naming for EmployeeID FK but creates separate PKs. CLIENT→PROJECT FK correct. No CONSULTANT_PROJECT.
P3: P3: 2NF: PD1,PD2(with TrainerID,TrainerName),PD3,FD correct. 3NF: PD2 has FK TrainerID, TD(TrainerID,TrainerName). Correct separation.</t>
        </is>
      </c>
    </row>
    <row r="37">
      <c r="A37" s="2" t="inlineStr">
        <is>
          <t>Joshua Yoo</t>
        </is>
      </c>
      <c r="B37" s="2" t="n">
        <v>5</v>
      </c>
      <c r="C37" s="2" t="n">
        <v>4</v>
      </c>
      <c r="D37" s="2" t="n">
        <v>3</v>
      </c>
      <c r="E37" s="2" t="n">
        <v>3</v>
      </c>
      <c r="F37" s="2" t="n">
        <v>3</v>
      </c>
      <c r="G37" s="3">
        <f>SUM(B37:F37)</f>
        <v/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3">
        <f>SUM(H37:L37)</f>
        <v/>
      </c>
      <c r="N37" s="2" t="n">
        <v>2</v>
      </c>
      <c r="O37" s="2" t="n">
        <v>1</v>
      </c>
      <c r="P37" s="2" t="n">
        <v>1</v>
      </c>
      <c r="Q37" s="2" t="n">
        <v>0</v>
      </c>
      <c r="R37" s="2" t="n">
        <v>0</v>
      </c>
      <c r="S37" s="3">
        <f>SUM(N37:R37)</f>
        <v/>
      </c>
      <c r="T37" s="4">
        <f>G37+M37+S37</f>
        <v/>
      </c>
      <c r="U37" s="5">
        <f>T37/60</f>
        <v/>
      </c>
      <c r="V37" s="2">
        <f>IF(T37&gt;=54,"A",IF(T37&gt;=48,"B",IF(T37&gt;=42,"C",IF(T37&gt;=36,"D","F"))))</f>
        <v/>
      </c>
      <c r="W37" s="6" t="inlineStr">
        <is>
          <t>P1: P1: PEOPLE, Adopter, Volunteer, Cares For(associative with VolunteerID,AnimalID), Animal, Housing Area. Label "O"=overlapping. Associative entity for M:N — excellent.
P2: P2: Template unmodified. No FKs added.
P3: P3: 3 tables shown: PetTypeID+PetTypeName, AccesoryID+extras, TrainingTypeID+TrainingTypeName. Only 2NF partial attempt. No FD/intersection table. No 3NF.</t>
        </is>
      </c>
    </row>
    <row r="38">
      <c r="A38" s="7" t="inlineStr">
        <is>
          <t>CLASS AVERAGE</t>
        </is>
      </c>
      <c r="G38" s="8">
        <f>AVERAGE(G2:G37)</f>
        <v/>
      </c>
      <c r="M38" s="8">
        <f>AVERAGE(M2:M37)</f>
        <v/>
      </c>
      <c r="S38" s="8">
        <f>AVERAGE(S2:S37)</f>
        <v/>
      </c>
      <c r="T38" s="8">
        <f>AVERAGE(T2:T37)</f>
        <v/>
      </c>
      <c r="U38" s="9">
        <f>AVERAGE(U2:U37)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2026-03-18T17:51:57Z</dcterms:created>
  <dcterms:modified xmlns:dcterms="http://purl.org/dc/terms/" xmlns:xsi="http://www.w3.org/2001/XMLSchema-instance" xsi:type="dcterms:W3CDTF">2026-03-18T17:51:57Z</dcterms:modified>
</cp:coreProperties>
</file>