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11_add_match" sheetId="2" state="visible" r:id="rId2"/>
    <sheet xmlns:r="http://schemas.openxmlformats.org/officeDocument/2006/relationships" name="Q12_get_team_points" sheetId="3" state="visible" r:id="rId3"/>
    <sheet xmlns:r="http://schemas.openxmlformats.org/officeDocument/2006/relationships" name="Q13_add_player_rating" sheetId="4" state="visible" r:id="rId4"/>
    <sheet xmlns:r="http://schemas.openxmlformats.org/officeDocument/2006/relationships" name="Q16_pkg_team_tools" sheetId="5" state="visible" r:id="rId5"/>
    <sheet xmlns:r="http://schemas.openxmlformats.org/officeDocument/2006/relationships" name="MC Detail" sheetId="6" state="visible" r:id="rId6"/>
    <sheet xmlns:r="http://schemas.openxmlformats.org/officeDocument/2006/relationships" name="Rubric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4"/>
    </font>
    <font>
      <b val="1"/>
      <sz val="12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9C4"/>
        <bgColor rgb="00FFF9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  <xf numFmtId="1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2" fontId="0" fillId="5" borderId="1" pivotButton="0" quotePrefix="0" xfId="0"/>
    <xf numFmtId="0" fontId="0" fillId="0" borderId="1" applyAlignment="1" pivotButton="0" quotePrefix="0" xfId="0">
      <alignment wrapText="1"/>
    </xf>
    <xf numFmtId="2" fontId="2" fillId="0" borderId="1" pivotButton="0" quotePrefix="0" xfId="0"/>
    <xf numFmtId="2" fontId="0" fillId="6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Student Name</t>
        </is>
      </c>
      <c r="B1" s="1" t="inlineStr">
        <is>
          <t>MC Total (48)</t>
        </is>
      </c>
      <c r="C1" s="1" t="inlineStr">
        <is>
          <t>Q11 (12)</t>
        </is>
      </c>
      <c r="D1" s="1" t="inlineStr">
        <is>
          <t>Q12 (12)</t>
        </is>
      </c>
      <c r="E1" s="1" t="inlineStr">
        <is>
          <t>Q13 (16)</t>
        </is>
      </c>
      <c r="F1" s="1" t="inlineStr">
        <is>
          <t>Q16 (12)</t>
        </is>
      </c>
      <c r="G1" s="1" t="inlineStr">
        <is>
          <t>Essay Total (52)</t>
        </is>
      </c>
      <c r="H1" s="1" t="inlineStr">
        <is>
          <t>Grand Total (100)</t>
        </is>
      </c>
      <c r="I1" s="1" t="inlineStr">
        <is>
          <t>Percentage</t>
        </is>
      </c>
      <c r="J1" s="1" t="inlineStr">
        <is>
          <t>Letter Grade</t>
        </is>
      </c>
    </row>
    <row r="2">
      <c r="A2" s="2" t="inlineStr">
        <is>
          <t>Melaud Shalikar</t>
        </is>
      </c>
      <c r="B2" s="3" t="n">
        <v>48</v>
      </c>
      <c r="C2" s="4">
        <f>'Q11_add_match'!G3</f>
        <v/>
      </c>
      <c r="D2" s="4">
        <f>'Q12_get_team_points'!H3</f>
        <v/>
      </c>
      <c r="E2" s="4">
        <f>'Q13_add_player_rating'!H3</f>
        <v/>
      </c>
      <c r="F2" s="4">
        <f>'Q16_pkg_team_tools'!G3</f>
        <v/>
      </c>
      <c r="G2" s="3">
        <f>SUM(C2:F2)</f>
        <v/>
      </c>
      <c r="H2" s="5">
        <f>B2+G2</f>
        <v/>
      </c>
      <c r="I2" s="6">
        <f>H2/100</f>
        <v/>
      </c>
      <c r="J2" s="7">
        <f>IF(H2&gt;=90,"A",IF(H2&gt;=80,"B",IF(H2&gt;=70,"C",IF(H2&gt;=60,"D","F"))))</f>
        <v/>
      </c>
    </row>
    <row r="3">
      <c r="A3" s="2" t="inlineStr">
        <is>
          <t>Alyssa Kathryn Espino</t>
        </is>
      </c>
      <c r="B3" s="3" t="n">
        <v>48</v>
      </c>
      <c r="C3" s="4">
        <f>'Q11_add_match'!G4</f>
        <v/>
      </c>
      <c r="D3" s="4">
        <f>'Q12_get_team_points'!H4</f>
        <v/>
      </c>
      <c r="E3" s="4">
        <f>'Q13_add_player_rating'!H4</f>
        <v/>
      </c>
      <c r="F3" s="4">
        <f>'Q16_pkg_team_tools'!G4</f>
        <v/>
      </c>
      <c r="G3" s="3">
        <f>SUM(C3:F3)</f>
        <v/>
      </c>
      <c r="H3" s="5">
        <f>B3+G3</f>
        <v/>
      </c>
      <c r="I3" s="6">
        <f>H3/100</f>
        <v/>
      </c>
      <c r="J3" s="7">
        <f>IF(H3&gt;=90,"A",IF(H3&gt;=80,"B",IF(H3&gt;=70,"C",IF(H3&gt;=60,"D","F"))))</f>
        <v/>
      </c>
    </row>
    <row r="4">
      <c r="A4" s="2" t="inlineStr">
        <is>
          <t>Alexis Garcia</t>
        </is>
      </c>
      <c r="B4" s="3" t="n">
        <v>33.33333333333333</v>
      </c>
      <c r="C4" s="4">
        <f>'Q11_add_match'!G5</f>
        <v/>
      </c>
      <c r="D4" s="4">
        <f>'Q12_get_team_points'!H5</f>
        <v/>
      </c>
      <c r="E4" s="4">
        <f>'Q13_add_player_rating'!H5</f>
        <v/>
      </c>
      <c r="F4" s="4">
        <f>'Q16_pkg_team_tools'!G5</f>
        <v/>
      </c>
      <c r="G4" s="3">
        <f>SUM(C4:F4)</f>
        <v/>
      </c>
      <c r="H4" s="5">
        <f>B4+G4</f>
        <v/>
      </c>
      <c r="I4" s="6">
        <f>H4/100</f>
        <v/>
      </c>
      <c r="J4" s="7">
        <f>IF(H4&gt;=90,"A",IF(H4&gt;=80,"B",IF(H4&gt;=70,"C",IF(H4&gt;=60,"D","F"))))</f>
        <v/>
      </c>
    </row>
    <row r="5">
      <c r="A5" s="2" t="inlineStr">
        <is>
          <t>Taylor Gensler</t>
        </is>
      </c>
      <c r="B5" s="3" t="n">
        <v>29.33333333333333</v>
      </c>
      <c r="C5" s="4">
        <f>'Q11_add_match'!G6</f>
        <v/>
      </c>
      <c r="D5" s="4">
        <f>'Q12_get_team_points'!H6</f>
        <v/>
      </c>
      <c r="E5" s="4">
        <f>'Q13_add_player_rating'!H6</f>
        <v/>
      </c>
      <c r="F5" s="4">
        <f>'Q16_pkg_team_tools'!G6</f>
        <v/>
      </c>
      <c r="G5" s="3">
        <f>SUM(C5:F5)</f>
        <v/>
      </c>
      <c r="H5" s="5">
        <f>B5+G5</f>
        <v/>
      </c>
      <c r="I5" s="6">
        <f>H5/100</f>
        <v/>
      </c>
      <c r="J5" s="7">
        <f>IF(H5&gt;=90,"A",IF(H5&gt;=80,"B",IF(H5&gt;=70,"C",IF(H5&gt;=60,"D","F"))))</f>
        <v/>
      </c>
    </row>
    <row r="6">
      <c r="A6" s="2" t="inlineStr">
        <is>
          <t>Joey Ha</t>
        </is>
      </c>
      <c r="B6" s="3" t="n">
        <v>46.66666666666666</v>
      </c>
      <c r="C6" s="4">
        <f>'Q11_add_match'!G7</f>
        <v/>
      </c>
      <c r="D6" s="4">
        <f>'Q12_get_team_points'!H7</f>
        <v/>
      </c>
      <c r="E6" s="4">
        <f>'Q13_add_player_rating'!H7</f>
        <v/>
      </c>
      <c r="F6" s="4">
        <f>'Q16_pkg_team_tools'!G7</f>
        <v/>
      </c>
      <c r="G6" s="3">
        <f>SUM(C6:F6)</f>
        <v/>
      </c>
      <c r="H6" s="5">
        <f>B6+G6</f>
        <v/>
      </c>
      <c r="I6" s="6">
        <f>H6/100</f>
        <v/>
      </c>
      <c r="J6" s="7">
        <f>IF(H6&gt;=90,"A",IF(H6&gt;=80,"B",IF(H6&gt;=70,"C",IF(H6&gt;=60,"D","F"))))</f>
        <v/>
      </c>
    </row>
    <row r="7">
      <c r="A7" s="2" t="inlineStr">
        <is>
          <t>Nathan Hoang</t>
        </is>
      </c>
      <c r="B7" s="3" t="n">
        <v>48</v>
      </c>
      <c r="C7" s="4">
        <f>'Q11_add_match'!G8</f>
        <v/>
      </c>
      <c r="D7" s="4">
        <f>'Q12_get_team_points'!H8</f>
        <v/>
      </c>
      <c r="E7" s="4">
        <f>'Q13_add_player_rating'!H8</f>
        <v/>
      </c>
      <c r="F7" s="4">
        <f>'Q16_pkg_team_tools'!G8</f>
        <v/>
      </c>
      <c r="G7" s="3">
        <f>SUM(C7:F7)</f>
        <v/>
      </c>
      <c r="H7" s="5">
        <f>B7+G7</f>
        <v/>
      </c>
      <c r="I7" s="6">
        <f>H7/100</f>
        <v/>
      </c>
      <c r="J7" s="7">
        <f>IF(H7&gt;=90,"A",IF(H7&gt;=80,"B",IF(H7&gt;=70,"C",IF(H7&gt;=60,"D","F"))))</f>
        <v/>
      </c>
    </row>
    <row r="8">
      <c r="A8" s="2" t="inlineStr">
        <is>
          <t>Himanshu Ladole</t>
        </is>
      </c>
      <c r="B8" s="3" t="n">
        <v>44</v>
      </c>
      <c r="C8" s="4">
        <f>'Q11_add_match'!G9</f>
        <v/>
      </c>
      <c r="D8" s="4">
        <f>'Q12_get_team_points'!H9</f>
        <v/>
      </c>
      <c r="E8" s="4">
        <f>'Q13_add_player_rating'!H9</f>
        <v/>
      </c>
      <c r="F8" s="4">
        <f>'Q16_pkg_team_tools'!G9</f>
        <v/>
      </c>
      <c r="G8" s="3">
        <f>SUM(C8:F8)</f>
        <v/>
      </c>
      <c r="H8" s="5">
        <f>B8+G8</f>
        <v/>
      </c>
      <c r="I8" s="6">
        <f>H8/100</f>
        <v/>
      </c>
      <c r="J8" s="7">
        <f>IF(H8&gt;=90,"A",IF(H8&gt;=80,"B",IF(H8&gt;=70,"C",IF(H8&gt;=60,"D","F"))))</f>
        <v/>
      </c>
    </row>
    <row r="9">
      <c r="A9" s="2" t="inlineStr">
        <is>
          <t>Sydney Mendez</t>
        </is>
      </c>
      <c r="B9" s="3" t="n">
        <v>29.33333333333333</v>
      </c>
      <c r="C9" s="4">
        <f>'Q11_add_match'!G10</f>
        <v/>
      </c>
      <c r="D9" s="4">
        <f>'Q12_get_team_points'!H10</f>
        <v/>
      </c>
      <c r="E9" s="4">
        <f>'Q13_add_player_rating'!H10</f>
        <v/>
      </c>
      <c r="F9" s="4">
        <f>'Q16_pkg_team_tools'!G10</f>
        <v/>
      </c>
      <c r="G9" s="3">
        <f>SUM(C9:F9)</f>
        <v/>
      </c>
      <c r="H9" s="5">
        <f>B9+G9</f>
        <v/>
      </c>
      <c r="I9" s="6">
        <f>H9/100</f>
        <v/>
      </c>
      <c r="J9" s="7">
        <f>IF(H9&gt;=90,"A",IF(H9&gt;=80,"B",IF(H9&gt;=70,"C",IF(H9&gt;=60,"D","F"))))</f>
        <v/>
      </c>
    </row>
    <row r="10">
      <c r="A10" s="2" t="inlineStr">
        <is>
          <t>Celest Moreira</t>
        </is>
      </c>
      <c r="B10" s="3" t="n">
        <v>48</v>
      </c>
      <c r="C10" s="4">
        <f>'Q11_add_match'!G11</f>
        <v/>
      </c>
      <c r="D10" s="4">
        <f>'Q12_get_team_points'!H11</f>
        <v/>
      </c>
      <c r="E10" s="4">
        <f>'Q13_add_player_rating'!H11</f>
        <v/>
      </c>
      <c r="F10" s="4">
        <f>'Q16_pkg_team_tools'!G11</f>
        <v/>
      </c>
      <c r="G10" s="3">
        <f>SUM(C10:F10)</f>
        <v/>
      </c>
      <c r="H10" s="5">
        <f>B10+G10</f>
        <v/>
      </c>
      <c r="I10" s="6">
        <f>H10/100</f>
        <v/>
      </c>
      <c r="J10" s="7">
        <f>IF(H10&gt;=90,"A",IF(H10&gt;=80,"B",IF(H10&gt;=70,"C",IF(H10&gt;=60,"D","F"))))</f>
        <v/>
      </c>
    </row>
    <row r="11">
      <c r="A11" s="2" t="inlineStr">
        <is>
          <t>Michael Nguyen</t>
        </is>
      </c>
      <c r="B11" s="3" t="n">
        <v>48</v>
      </c>
      <c r="C11" s="4">
        <f>'Q11_add_match'!G12</f>
        <v/>
      </c>
      <c r="D11" s="4">
        <f>'Q12_get_team_points'!H12</f>
        <v/>
      </c>
      <c r="E11" s="4">
        <f>'Q13_add_player_rating'!H12</f>
        <v/>
      </c>
      <c r="F11" s="4">
        <f>'Q16_pkg_team_tools'!G12</f>
        <v/>
      </c>
      <c r="G11" s="3">
        <f>SUM(C11:F11)</f>
        <v/>
      </c>
      <c r="H11" s="5">
        <f>B11+G11</f>
        <v/>
      </c>
      <c r="I11" s="6">
        <f>H11/100</f>
        <v/>
      </c>
      <c r="J11" s="7">
        <f>IF(H11&gt;=90,"A",IF(H11&gt;=80,"B",IF(H11&gt;=70,"C",IF(H11&gt;=60,"D","F"))))</f>
        <v/>
      </c>
    </row>
    <row r="12">
      <c r="A12" s="2" t="inlineStr">
        <is>
          <t>Thuy Tien Nguyen</t>
        </is>
      </c>
      <c r="B12" s="3" t="n">
        <v>46.66666666666666</v>
      </c>
      <c r="C12" s="4">
        <f>'Q11_add_match'!G13</f>
        <v/>
      </c>
      <c r="D12" s="4">
        <f>'Q12_get_team_points'!H13</f>
        <v/>
      </c>
      <c r="E12" s="4">
        <f>'Q13_add_player_rating'!H13</f>
        <v/>
      </c>
      <c r="F12" s="4">
        <f>'Q16_pkg_team_tools'!G13</f>
        <v/>
      </c>
      <c r="G12" s="3">
        <f>SUM(C12:F12)</f>
        <v/>
      </c>
      <c r="H12" s="5">
        <f>B12+G12</f>
        <v/>
      </c>
      <c r="I12" s="6">
        <f>H12/100</f>
        <v/>
      </c>
      <c r="J12" s="7">
        <f>IF(H12&gt;=90,"A",IF(H12&gt;=80,"B",IF(H12&gt;=70,"C",IF(H12&gt;=60,"D","F"))))</f>
        <v/>
      </c>
    </row>
    <row r="13">
      <c r="A13" s="2" t="inlineStr">
        <is>
          <t>Reyna Singh</t>
        </is>
      </c>
      <c r="B13" s="3" t="n">
        <v>48</v>
      </c>
      <c r="C13" s="4">
        <f>'Q11_add_match'!G14</f>
        <v/>
      </c>
      <c r="D13" s="4">
        <f>'Q12_get_team_points'!H14</f>
        <v/>
      </c>
      <c r="E13" s="4">
        <f>'Q13_add_player_rating'!H14</f>
        <v/>
      </c>
      <c r="F13" s="4">
        <f>'Q16_pkg_team_tools'!G14</f>
        <v/>
      </c>
      <c r="G13" s="3">
        <f>SUM(C13:F13)</f>
        <v/>
      </c>
      <c r="H13" s="5">
        <f>B13+G13</f>
        <v/>
      </c>
      <c r="I13" s="6">
        <f>H13/100</f>
        <v/>
      </c>
      <c r="J13" s="7">
        <f>IF(H13&gt;=90,"A",IF(H13&gt;=80,"B",IF(H13&gt;=70,"C",IF(H13&gt;=60,"D","F"))))</f>
        <v/>
      </c>
    </row>
    <row r="14">
      <c r="A14" s="2" t="inlineStr">
        <is>
          <t>Wayne Wilhelm</t>
        </is>
      </c>
      <c r="B14" s="3" t="n">
        <v>28</v>
      </c>
      <c r="C14" s="4">
        <f>'Q11_add_match'!G15</f>
        <v/>
      </c>
      <c r="D14" s="4">
        <f>'Q12_get_team_points'!H15</f>
        <v/>
      </c>
      <c r="E14" s="4">
        <f>'Q13_add_player_rating'!H15</f>
        <v/>
      </c>
      <c r="F14" s="4">
        <f>'Q16_pkg_team_tools'!G15</f>
        <v/>
      </c>
      <c r="G14" s="3">
        <f>SUM(C14:F14)</f>
        <v/>
      </c>
      <c r="H14" s="5">
        <f>B14+G14</f>
        <v/>
      </c>
      <c r="I14" s="6">
        <f>H14/100</f>
        <v/>
      </c>
      <c r="J14" s="7">
        <f>IF(H14&gt;=90,"A",IF(H14&gt;=80,"B",IF(H14&gt;=70,"C",IF(H14&gt;=60,"D","F"))))</f>
        <v/>
      </c>
    </row>
    <row r="15">
      <c r="A15" s="2" t="inlineStr">
        <is>
          <t>Nicholas Nguyen</t>
        </is>
      </c>
      <c r="B15" s="3" t="n">
        <v>42.66666666666666</v>
      </c>
      <c r="C15" s="4">
        <f>'Q11_add_match'!G16</f>
        <v/>
      </c>
      <c r="D15" s="4">
        <f>'Q12_get_team_points'!H16</f>
        <v/>
      </c>
      <c r="E15" s="4">
        <f>'Q13_add_player_rating'!H16</f>
        <v/>
      </c>
      <c r="F15" s="4">
        <f>'Q16_pkg_team_tools'!G16</f>
        <v/>
      </c>
      <c r="G15" s="3">
        <f>SUM(C15:F15)</f>
        <v/>
      </c>
      <c r="H15" s="5">
        <f>B15+G15</f>
        <v/>
      </c>
      <c r="I15" s="6">
        <f>H15/100</f>
        <v/>
      </c>
      <c r="J15" s="7">
        <f>IF(H15&gt;=90,"A",IF(H15&gt;=80,"B",IF(H15&gt;=70,"C",IF(H15&gt;=60,"D","F"))))</f>
        <v/>
      </c>
    </row>
    <row r="16">
      <c r="A16" s="2" t="inlineStr">
        <is>
          <t>Anthony Sierra</t>
        </is>
      </c>
      <c r="B16" s="3" t="n">
        <v>48</v>
      </c>
      <c r="C16" s="4">
        <f>'Q11_add_match'!G17</f>
        <v/>
      </c>
      <c r="D16" s="4">
        <f>'Q12_get_team_points'!H17</f>
        <v/>
      </c>
      <c r="E16" s="4">
        <f>'Q13_add_player_rating'!H17</f>
        <v/>
      </c>
      <c r="F16" s="4">
        <f>'Q16_pkg_team_tools'!G17</f>
        <v/>
      </c>
      <c r="G16" s="3">
        <f>SUM(C16:F16)</f>
        <v/>
      </c>
      <c r="H16" s="5">
        <f>B16+G16</f>
        <v/>
      </c>
      <c r="I16" s="6">
        <f>H16/100</f>
        <v/>
      </c>
      <c r="J16" s="7">
        <f>IF(H16&gt;=90,"A",IF(H16&gt;=80,"B",IF(H16&gt;=70,"C",IF(H16&gt;=60,"D","F"))))</f>
        <v/>
      </c>
    </row>
    <row r="17">
      <c r="A17" s="2" t="inlineStr">
        <is>
          <t>Ken Tran</t>
        </is>
      </c>
      <c r="B17" s="3" t="n">
        <v>48</v>
      </c>
      <c r="C17" s="4">
        <f>'Q11_add_match'!G18</f>
        <v/>
      </c>
      <c r="D17" s="4">
        <f>'Q12_get_team_points'!H18</f>
        <v/>
      </c>
      <c r="E17" s="4">
        <f>'Q13_add_player_rating'!H18</f>
        <v/>
      </c>
      <c r="F17" s="4">
        <f>'Q16_pkg_team_tools'!G18</f>
        <v/>
      </c>
      <c r="G17" s="3">
        <f>SUM(C17:F17)</f>
        <v/>
      </c>
      <c r="H17" s="5">
        <f>B17+G17</f>
        <v/>
      </c>
      <c r="I17" s="6">
        <f>H17/100</f>
        <v/>
      </c>
      <c r="J17" s="7">
        <f>IF(H17&gt;=90,"A",IF(H17&gt;=80,"B",IF(H17&gt;=70,"C",IF(H17&gt;=60,"D","F"))))</f>
        <v/>
      </c>
    </row>
    <row r="18">
      <c r="A18" s="2" t="inlineStr">
        <is>
          <t>Dan Brendza</t>
        </is>
      </c>
      <c r="B18" s="3" t="n">
        <v>46.66666666666666</v>
      </c>
      <c r="C18" s="4">
        <f>'Q11_add_match'!G19</f>
        <v/>
      </c>
      <c r="D18" s="4">
        <f>'Q12_get_team_points'!H19</f>
        <v/>
      </c>
      <c r="E18" s="4">
        <f>'Q13_add_player_rating'!H19</f>
        <v/>
      </c>
      <c r="F18" s="4">
        <f>'Q16_pkg_team_tools'!G19</f>
        <v/>
      </c>
      <c r="G18" s="3">
        <f>SUM(C18:F18)</f>
        <v/>
      </c>
      <c r="H18" s="5">
        <f>B18+G18</f>
        <v/>
      </c>
      <c r="I18" s="6">
        <f>H18/100</f>
        <v/>
      </c>
      <c r="J18" s="7">
        <f>IF(H18&gt;=90,"A",IF(H18&gt;=80,"B",IF(H18&gt;=70,"C",IF(H18&gt;=60,"D","F"))))</f>
        <v/>
      </c>
    </row>
    <row r="19">
      <c r="A19" s="2" t="inlineStr">
        <is>
          <t>Aiden Linderman</t>
        </is>
      </c>
      <c r="B19" s="3" t="n">
        <v>48</v>
      </c>
      <c r="C19" s="4">
        <f>'Q11_add_match'!G20</f>
        <v/>
      </c>
      <c r="D19" s="4">
        <f>'Q12_get_team_points'!H20</f>
        <v/>
      </c>
      <c r="E19" s="4">
        <f>'Q13_add_player_rating'!H20</f>
        <v/>
      </c>
      <c r="F19" s="4">
        <f>'Q16_pkg_team_tools'!G20</f>
        <v/>
      </c>
      <c r="G19" s="3">
        <f>SUM(C19:F19)</f>
        <v/>
      </c>
      <c r="H19" s="5">
        <f>B19+G19</f>
        <v/>
      </c>
      <c r="I19" s="6">
        <f>H19/100</f>
        <v/>
      </c>
      <c r="J19" s="7">
        <f>IF(H19&gt;=90,"A",IF(H19&gt;=80,"B",IF(H19&gt;=70,"C",IF(H19&gt;=60,"D","F"))))</f>
        <v/>
      </c>
    </row>
    <row r="20">
      <c r="A20" s="2" t="inlineStr">
        <is>
          <t>Kyle Duong</t>
        </is>
      </c>
      <c r="B20" s="3" t="n">
        <v>36</v>
      </c>
      <c r="C20" s="4">
        <f>'Q11_add_match'!G21</f>
        <v/>
      </c>
      <c r="D20" s="4">
        <f>'Q12_get_team_points'!H21</f>
        <v/>
      </c>
      <c r="E20" s="4">
        <f>'Q13_add_player_rating'!H21</f>
        <v/>
      </c>
      <c r="F20" s="4">
        <f>'Q16_pkg_team_tools'!G21</f>
        <v/>
      </c>
      <c r="G20" s="3">
        <f>SUM(C20:F20)</f>
        <v/>
      </c>
      <c r="H20" s="5">
        <f>B20+G20</f>
        <v/>
      </c>
      <c r="I20" s="6">
        <f>H20/100</f>
        <v/>
      </c>
      <c r="J20" s="7">
        <f>IF(H20&gt;=90,"A",IF(H20&gt;=80,"B",IF(H20&gt;=70,"C",IF(H20&gt;=60,"D","F"))))</f>
        <v/>
      </c>
    </row>
    <row r="21">
      <c r="A21" s="2" t="inlineStr">
        <is>
          <t>Nathan Jalandoni</t>
        </is>
      </c>
      <c r="B21" s="3" t="n">
        <v>48</v>
      </c>
      <c r="C21" s="4">
        <f>'Q11_add_match'!G22</f>
        <v/>
      </c>
      <c r="D21" s="4">
        <f>'Q12_get_team_points'!H22</f>
        <v/>
      </c>
      <c r="E21" s="4">
        <f>'Q13_add_player_rating'!H22</f>
        <v/>
      </c>
      <c r="F21" s="4">
        <f>'Q16_pkg_team_tools'!G22</f>
        <v/>
      </c>
      <c r="G21" s="3">
        <f>SUM(C21:F21)</f>
        <v/>
      </c>
      <c r="H21" s="5">
        <f>B21+G21</f>
        <v/>
      </c>
      <c r="I21" s="6">
        <f>H21/100</f>
        <v/>
      </c>
      <c r="J21" s="7">
        <f>IF(H21&gt;=90,"A",IF(H21&gt;=80,"B",IF(H21&gt;=70,"C",IF(H21&gt;=60,"D","F"))))</f>
        <v/>
      </c>
    </row>
    <row r="22">
      <c r="A22" s="2" t="inlineStr">
        <is>
          <t>Maria Visoso</t>
        </is>
      </c>
      <c r="B22" s="3" t="n">
        <v>34.66666666666667</v>
      </c>
      <c r="C22" s="4">
        <f>'Q11_add_match'!G23</f>
        <v/>
      </c>
      <c r="D22" s="4">
        <f>'Q12_get_team_points'!H23</f>
        <v/>
      </c>
      <c r="E22" s="4">
        <f>'Q13_add_player_rating'!H23</f>
        <v/>
      </c>
      <c r="F22" s="4">
        <f>'Q16_pkg_team_tools'!G23</f>
        <v/>
      </c>
      <c r="G22" s="3">
        <f>SUM(C22:F22)</f>
        <v/>
      </c>
      <c r="H22" s="5">
        <f>B22+G22</f>
        <v/>
      </c>
      <c r="I22" s="6">
        <f>H22/100</f>
        <v/>
      </c>
      <c r="J22" s="7">
        <f>IF(H22&gt;=90,"A",IF(H22&gt;=80,"B",IF(H22&gt;=70,"C",IF(H22&gt;=60,"D","F"))))</f>
        <v/>
      </c>
    </row>
    <row r="23">
      <c r="A23" s="2" t="inlineStr">
        <is>
          <t>Angelina Nguyen</t>
        </is>
      </c>
      <c r="B23" s="3" t="n">
        <v>41.33333333333333</v>
      </c>
      <c r="C23" s="4">
        <f>'Q11_add_match'!G24</f>
        <v/>
      </c>
      <c r="D23" s="4">
        <f>'Q12_get_team_points'!H24</f>
        <v/>
      </c>
      <c r="E23" s="4">
        <f>'Q13_add_player_rating'!H24</f>
        <v/>
      </c>
      <c r="F23" s="4">
        <f>'Q16_pkg_team_tools'!G24</f>
        <v/>
      </c>
      <c r="G23" s="3">
        <f>SUM(C23:F23)</f>
        <v/>
      </c>
      <c r="H23" s="5">
        <f>B23+G23</f>
        <v/>
      </c>
      <c r="I23" s="6">
        <f>H23/100</f>
        <v/>
      </c>
      <c r="J23" s="7">
        <f>IF(H23&gt;=90,"A",IF(H23&gt;=80,"B",IF(H23&gt;=70,"C",IF(H23&gt;=60,"D","F"))))</f>
        <v/>
      </c>
    </row>
    <row r="24">
      <c r="A24" s="2" t="inlineStr">
        <is>
          <t>Daniela Bribiesca</t>
        </is>
      </c>
      <c r="B24" s="3" t="n">
        <v>37.33333333333333</v>
      </c>
      <c r="C24" s="4">
        <f>'Q11_add_match'!G25</f>
        <v/>
      </c>
      <c r="D24" s="4">
        <f>'Q12_get_team_points'!H25</f>
        <v/>
      </c>
      <c r="E24" s="4">
        <f>'Q13_add_player_rating'!H25</f>
        <v/>
      </c>
      <c r="F24" s="4">
        <f>'Q16_pkg_team_tools'!G25</f>
        <v/>
      </c>
      <c r="G24" s="3">
        <f>SUM(C24:F24)</f>
        <v/>
      </c>
      <c r="H24" s="5">
        <f>B24+G24</f>
        <v/>
      </c>
      <c r="I24" s="6">
        <f>H24/100</f>
        <v/>
      </c>
      <c r="J24" s="7">
        <f>IF(H24&gt;=90,"A",IF(H24&gt;=80,"B",IF(H24&gt;=70,"C",IF(H24&gt;=60,"D","F"))))</f>
        <v/>
      </c>
    </row>
    <row r="25">
      <c r="A25" s="2" t="inlineStr">
        <is>
          <t>Isaiah Sage Auste</t>
        </is>
      </c>
      <c r="B25" s="3" t="n">
        <v>48</v>
      </c>
      <c r="C25" s="4">
        <f>'Q11_add_match'!G26</f>
        <v/>
      </c>
      <c r="D25" s="4">
        <f>'Q12_get_team_points'!H26</f>
        <v/>
      </c>
      <c r="E25" s="4">
        <f>'Q13_add_player_rating'!H26</f>
        <v/>
      </c>
      <c r="F25" s="4">
        <f>'Q16_pkg_team_tools'!G26</f>
        <v/>
      </c>
      <c r="G25" s="3">
        <f>SUM(C25:F25)</f>
        <v/>
      </c>
      <c r="H25" s="5">
        <f>B25+G25</f>
        <v/>
      </c>
      <c r="I25" s="6">
        <f>H25/100</f>
        <v/>
      </c>
      <c r="J25" s="7">
        <f>IF(H25&gt;=90,"A",IF(H25&gt;=80,"B",IF(H25&gt;=70,"C",IF(H25&gt;=60,"D","F"))))</f>
        <v/>
      </c>
    </row>
    <row r="26">
      <c r="A26" s="2" t="inlineStr">
        <is>
          <t>Nioni England</t>
        </is>
      </c>
      <c r="B26" s="3" t="n">
        <v>37.33333333333333</v>
      </c>
      <c r="C26" s="4">
        <f>'Q11_add_match'!G27</f>
        <v/>
      </c>
      <c r="D26" s="4">
        <f>'Q12_get_team_points'!H27</f>
        <v/>
      </c>
      <c r="E26" s="4">
        <f>'Q13_add_player_rating'!H27</f>
        <v/>
      </c>
      <c r="F26" s="4">
        <f>'Q16_pkg_team_tools'!G27</f>
        <v/>
      </c>
      <c r="G26" s="3">
        <f>SUM(C26:F26)</f>
        <v/>
      </c>
      <c r="H26" s="5">
        <f>B26+G26</f>
        <v/>
      </c>
      <c r="I26" s="6">
        <f>H26/100</f>
        <v/>
      </c>
      <c r="J26" s="7">
        <f>IF(H26&gt;=90,"A",IF(H26&gt;=80,"B",IF(H26&gt;=70,"C",IF(H26&gt;=60,"D","F"))))</f>
        <v/>
      </c>
    </row>
    <row r="27">
      <c r="A27" s="2" t="inlineStr">
        <is>
          <t>Vanessa Nguyen</t>
        </is>
      </c>
      <c r="B27" s="3" t="n">
        <v>44</v>
      </c>
      <c r="C27" s="4">
        <f>'Q11_add_match'!G28</f>
        <v/>
      </c>
      <c r="D27" s="4">
        <f>'Q12_get_team_points'!H28</f>
        <v/>
      </c>
      <c r="E27" s="4">
        <f>'Q13_add_player_rating'!H28</f>
        <v/>
      </c>
      <c r="F27" s="4">
        <f>'Q16_pkg_team_tools'!G28</f>
        <v/>
      </c>
      <c r="G27" s="3">
        <f>SUM(C27:F27)</f>
        <v/>
      </c>
      <c r="H27" s="5">
        <f>B27+G27</f>
        <v/>
      </c>
      <c r="I27" s="6">
        <f>H27/100</f>
        <v/>
      </c>
      <c r="J27" s="7">
        <f>IF(H27&gt;=90,"A",IF(H27&gt;=80,"B",IF(H27&gt;=70,"C",IF(H27&gt;=60,"D","F"))))</f>
        <v/>
      </c>
    </row>
    <row r="28">
      <c r="A28" s="2" t="inlineStr">
        <is>
          <t>Carlos Caro</t>
        </is>
      </c>
      <c r="B28" s="3" t="n">
        <v>41.33333333333333</v>
      </c>
      <c r="C28" s="4">
        <f>'Q11_add_match'!G29</f>
        <v/>
      </c>
      <c r="D28" s="4">
        <f>'Q12_get_team_points'!H29</f>
        <v/>
      </c>
      <c r="E28" s="4">
        <f>'Q13_add_player_rating'!H29</f>
        <v/>
      </c>
      <c r="F28" s="4">
        <f>'Q16_pkg_team_tools'!G29</f>
        <v/>
      </c>
      <c r="G28" s="3">
        <f>SUM(C28:F28)</f>
        <v/>
      </c>
      <c r="H28" s="5">
        <f>B28+G28</f>
        <v/>
      </c>
      <c r="I28" s="6">
        <f>H28/100</f>
        <v/>
      </c>
      <c r="J28" s="7">
        <f>IF(H28&gt;=90,"A",IF(H28&gt;=80,"B",IF(H28&gt;=70,"C",IF(H28&gt;=60,"D","F"))))</f>
        <v/>
      </c>
    </row>
    <row r="29">
      <c r="A29" s="2" t="inlineStr">
        <is>
          <t>Ian Kim</t>
        </is>
      </c>
      <c r="B29" s="3" t="n">
        <v>42.66666666666666</v>
      </c>
      <c r="C29" s="4">
        <f>'Q11_add_match'!G30</f>
        <v/>
      </c>
      <c r="D29" s="4">
        <f>'Q12_get_team_points'!H30</f>
        <v/>
      </c>
      <c r="E29" s="4">
        <f>'Q13_add_player_rating'!H30</f>
        <v/>
      </c>
      <c r="F29" s="4">
        <f>'Q16_pkg_team_tools'!G30</f>
        <v/>
      </c>
      <c r="G29" s="3">
        <f>SUM(C29:F29)</f>
        <v/>
      </c>
      <c r="H29" s="5">
        <f>B29+G29</f>
        <v/>
      </c>
      <c r="I29" s="6">
        <f>H29/100</f>
        <v/>
      </c>
      <c r="J29" s="7">
        <f>IF(H29&gt;=90,"A",IF(H29&gt;=80,"B",IF(H29&gt;=70,"C",IF(H29&gt;=60,"D","F"))))</f>
        <v/>
      </c>
    </row>
    <row r="30">
      <c r="A30" s="2" t="inlineStr">
        <is>
          <t>Taylor Lewis</t>
        </is>
      </c>
      <c r="B30" s="3" t="n">
        <v>37.33333333333333</v>
      </c>
      <c r="C30" s="4">
        <f>'Q11_add_match'!G31</f>
        <v/>
      </c>
      <c r="D30" s="4">
        <f>'Q12_get_team_points'!H31</f>
        <v/>
      </c>
      <c r="E30" s="4">
        <f>'Q13_add_player_rating'!H31</f>
        <v/>
      </c>
      <c r="F30" s="4">
        <f>'Q16_pkg_team_tools'!G31</f>
        <v/>
      </c>
      <c r="G30" s="3">
        <f>SUM(C30:F30)</f>
        <v/>
      </c>
      <c r="H30" s="5">
        <f>B30+G30</f>
        <v/>
      </c>
      <c r="I30" s="6">
        <f>H30/100</f>
        <v/>
      </c>
      <c r="J30" s="7">
        <f>IF(H30&gt;=90,"A",IF(H30&gt;=80,"B",IF(H30&gt;=70,"C",IF(H30&gt;=60,"D","F"))))</f>
        <v/>
      </c>
    </row>
    <row r="31">
      <c r="A31" s="2" t="inlineStr">
        <is>
          <t>Ronald Portillo Quinteros</t>
        </is>
      </c>
      <c r="B31" s="3" t="n">
        <v>32</v>
      </c>
      <c r="C31" s="4">
        <f>'Q11_add_match'!G32</f>
        <v/>
      </c>
      <c r="D31" s="4">
        <f>'Q12_get_team_points'!H32</f>
        <v/>
      </c>
      <c r="E31" s="4">
        <f>'Q13_add_player_rating'!H32</f>
        <v/>
      </c>
      <c r="F31" s="4">
        <f>'Q16_pkg_team_tools'!G32</f>
        <v/>
      </c>
      <c r="G31" s="3">
        <f>SUM(C31:F31)</f>
        <v/>
      </c>
      <c r="H31" s="5">
        <f>B31+G31</f>
        <v/>
      </c>
      <c r="I31" s="6">
        <f>H31/100</f>
        <v/>
      </c>
      <c r="J31" s="7">
        <f>IF(H31&gt;=90,"A",IF(H31&gt;=80,"B",IF(H31&gt;=70,"C",IF(H31&gt;=60,"D","F"))))</f>
        <v/>
      </c>
    </row>
    <row r="32">
      <c r="A32" s="2" t="inlineStr">
        <is>
          <t>Luis Ibarra</t>
        </is>
      </c>
      <c r="B32" s="3" t="n">
        <v>42.66666666666666</v>
      </c>
      <c r="C32" s="4">
        <f>'Q11_add_match'!G33</f>
        <v/>
      </c>
      <c r="D32" s="4">
        <f>'Q12_get_team_points'!H33</f>
        <v/>
      </c>
      <c r="E32" s="4">
        <f>'Q13_add_player_rating'!H33</f>
        <v/>
      </c>
      <c r="F32" s="4">
        <f>'Q16_pkg_team_tools'!G33</f>
        <v/>
      </c>
      <c r="G32" s="3">
        <f>SUM(C32:F32)</f>
        <v/>
      </c>
      <c r="H32" s="5">
        <f>B32+G32</f>
        <v/>
      </c>
      <c r="I32" s="6">
        <f>H32/100</f>
        <v/>
      </c>
      <c r="J32" s="7">
        <f>IF(H32&gt;=90,"A",IF(H32&gt;=80,"B",IF(H32&gt;=70,"C",IF(H32&gt;=60,"D","F"))))</f>
        <v/>
      </c>
    </row>
    <row r="33">
      <c r="A33" s="8" t="inlineStr">
        <is>
          <t>CLASS AVERAGE</t>
        </is>
      </c>
      <c r="B33" s="9">
        <f>AVERAGE(B2:B32)</f>
        <v/>
      </c>
      <c r="C33" s="9">
        <f>AVERAGE(C2:C32)</f>
        <v/>
      </c>
      <c r="D33" s="9">
        <f>AVERAGE(D2:D32)</f>
        <v/>
      </c>
      <c r="E33" s="9">
        <f>AVERAGE(E2:E32)</f>
        <v/>
      </c>
      <c r="F33" s="9">
        <f>AVERAGE(F2:F32)</f>
        <v/>
      </c>
      <c r="G33" s="9">
        <f>AVERAGE(G2:G32)</f>
        <v/>
      </c>
      <c r="H33" s="9">
        <f>AVERAGE(H2:H32)</f>
        <v/>
      </c>
      <c r="I33" s="10">
        <f>AVERAGE(I2:I32)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80" customWidth="1" min="2" max="2"/>
    <col width="18" customWidth="1" min="3" max="3"/>
    <col width="18" customWidth="1" min="4" max="4"/>
    <col width="18" customWidth="1" min="5" max="5"/>
    <col width="18" customWidth="1" min="6" max="6"/>
    <col width="10" customWidth="1" min="7" max="7"/>
    <col width="30" customWidth="1" min="8" max="8"/>
  </cols>
  <sheetData>
    <row r="1">
      <c r="A1" s="11" t="inlineStr">
        <is>
          <t>Q11_add_match — 12 points total</t>
        </is>
      </c>
    </row>
    <row r="2">
      <c r="A2" s="1" t="inlineStr">
        <is>
          <t>Student Name</t>
        </is>
      </c>
      <c r="B2" s="1" t="inlineStr">
        <is>
          <t>Response</t>
        </is>
      </c>
      <c r="C2" s="1" t="inlineStr">
        <is>
          <t>A. Procedure header (2 pts)</t>
        </is>
      </c>
      <c r="D2" s="1" t="inlineStr">
        <is>
          <t>B. Validation logic (3 pts)</t>
        </is>
      </c>
      <c r="E2" s="1" t="inlineStr">
        <is>
          <t>C. INSERT statement (5 pts)</t>
        </is>
      </c>
      <c r="F2" s="1" t="inlineStr">
        <is>
          <t>D. Overall PL/SQL structure (2 pts)</t>
        </is>
      </c>
      <c r="G2" s="1" t="inlineStr">
        <is>
          <t>Total</t>
        </is>
      </c>
      <c r="H2" s="1" t="inlineStr">
        <is>
          <t>Notes</t>
        </is>
      </c>
    </row>
    <row r="3" ht="200" customHeight="1">
      <c r="A3" s="2" t="inlineStr">
        <is>
          <t>Melaud Shalikar</t>
        </is>
      </c>
      <c r="B3" s="12" t="inlineStr">
        <is>
          <t>CREATE OR REPLACE PROCEDURE add_match(
p_match_id       NUMBER,
p_season          NUMBER,
p_stage            VARCHAR2,
p_match_date        DATE
p_home_team_id    NUMBER,
p_away_team_id        NUMBER
)
IS 
BEGIN
IF p_home_team_id = p_away_team_id THEN
RAISE_APPLICATION_ERROR(-20001, 'Home and away teams cannot be the same');
END IF;
INSERT INTO MATCHES (
match_id,
season,
stage,
match_date, 
p_home_team_id,
home_team_goal,
away_team_goal
)
p_away_team_id
)
VALUES(
match_id,
season,
stage,
match_date, 
p_home_team_id,
NULL,
NULL
);
END;
/</t>
        </is>
      </c>
      <c r="C3" s="13" t="n">
        <v>1.5</v>
      </c>
      <c r="D3" s="13" t="n">
        <v>3</v>
      </c>
      <c r="E3" s="13" t="n">
        <v>3</v>
      </c>
      <c r="F3" s="13" t="n">
        <v>2</v>
      </c>
      <c r="G3" s="14">
        <f>SUM(C3:F3)</f>
        <v/>
      </c>
      <c r="H3" s="15" t="inlineStr">
        <is>
          <t>Header: missing comma after p_match_date, p_season typed as NUMBER (should be VARCHAR2). Validation: correct check before INSERT, correct RAISE. INSERT: has structure but p_home_team_id in column list (should be home_team_id), p_away_team_id misplaced outside parens, VALUES uses column names not params. Goals=NULL correct. Structure OK.</t>
        </is>
      </c>
    </row>
    <row r="4" ht="200" customHeight="1">
      <c r="A4" s="2" t="inlineStr">
        <is>
          <t>Alyssa Kathryn Espino</t>
        </is>
      </c>
      <c r="B4" s="12" t="inlineStr">
        <is>
          <t>CREATE OR REPLACE PROCEDURE add_match (p_match_id NUMBER, p_season NUMBER, p_stage VARCHAR2, p_match_date DATE, p_home_team_id NUMBER, p_away_team_id NUMBER) IS 
BEGIN 
           IF p_home_team_id = p_away_team_id THEN RAISE_APPLICATION_ERROR (-20001, 'Teams cannot be similar');
END IF; 
INSERT INTO MATCHES 
VALUES(p_match_id, p_season, p_stage, p_match_date, p_home_team_id, p_away_team_id, NULL, NUL);
END;</t>
        </is>
      </c>
      <c r="C4" s="13" t="n">
        <v>2</v>
      </c>
      <c r="D4" s="13" t="n">
        <v>3</v>
      </c>
      <c r="E4" s="13" t="n">
        <v>4</v>
      </c>
      <c r="F4" s="13" t="n">
        <v>2</v>
      </c>
      <c r="G4" s="14">
        <f>SUM(C4:F4)</f>
        <v/>
      </c>
      <c r="H4" s="15" t="inlineStr">
        <is>
          <t>Header correct with 6 params. Validation correct before INSERT. INSERT uses VALUES shorthand without column list (risky but acceptable), NUL instead of NULL (typo). Structure clean.</t>
        </is>
      </c>
    </row>
    <row r="5" ht="200" customHeight="1">
      <c r="A5" s="2" t="inlineStr">
        <is>
          <t>Alexis Garcia</t>
        </is>
      </c>
      <c r="B5" s="12" t="inlineStr">
        <is>
          <t>CREATE OR REPLACE PROCEDURE add_match(p_match_id, p_season, p_match_date, p_home_team_id, pp_away_team_id)</t>
        </is>
      </c>
      <c r="C5" s="13" t="n">
        <v>1</v>
      </c>
      <c r="D5" s="13" t="n">
        <v>0</v>
      </c>
      <c r="E5" s="13" t="n">
        <v>0</v>
      </c>
      <c r="F5" s="13" t="n">
        <v>0</v>
      </c>
      <c r="G5" s="14">
        <f>SUM(C5:F5)</f>
        <v/>
      </c>
      <c r="H5" s="15" t="inlineStr">
        <is>
          <t>Header only — has procedure name and params but no datatypes, missing p_stage. No BEGIN, no validation, no INSERT, no END.</t>
        </is>
      </c>
    </row>
    <row r="6" ht="200" customHeight="1">
      <c r="A6" s="2" t="inlineStr">
        <is>
          <t>Taylor Gensler</t>
        </is>
      </c>
      <c r="B6" s="12" t="inlineStr">
        <is>
          <t>CREATE OR REPLACE PROCEDURE add_match(
p_match_id IN match.num%type
p_season IN season.num%type
p_stage IN stage.num%type 
p_match_date IN matchdate.num %type
) AS
P_home_team_id := NULL 
p_away_team_id := NULL
BEGIN 
SELECT hometeamid, awayteamid.hometeamgoal,away team goal
Into vhometeam vawayteamid v homegaols v away goals
FROM Matches 
Where match id = p match id
If p_team_d = vhometeam an
END IF 
IF v_home_goals =  V_away_goals Then 
Return 1 
ELSE IF  p_team_id = v_gome_team and vhome goals &gt; vaway goals OR p team id = away team is and v away goals &gt; v home goals THEN 
Return 3
ELSE 
Return 0 
END IF 
Exception 
WHEN NO DATA FOUND THEN 
END</t>
        </is>
      </c>
      <c r="C6" s="13" t="n">
        <v>1</v>
      </c>
      <c r="D6" s="13" t="n">
        <v>0</v>
      </c>
      <c r="E6" s="13" t="n">
        <v>0</v>
      </c>
      <c r="F6" s="13" t="n">
        <v>0.5</v>
      </c>
      <c r="G6" s="14">
        <f>SUM(C6:F6)</f>
        <v/>
      </c>
      <c r="H6" s="15" t="inlineStr">
        <is>
          <t>Header has procedure name and some params but wrong datatypes (match.num%type doesnt exist), only 4 params. Confuses Q11 with Q12 — contains SELECT INTO and IF/ELSIF for win/draw/loss logic which belongs to the function question. No proper INSERT. No validation for same team. Has BEGIN/END structure.</t>
        </is>
      </c>
    </row>
    <row r="7" ht="200" customHeight="1">
      <c r="A7" s="2" t="inlineStr">
        <is>
          <t>Joey Ha</t>
        </is>
      </c>
      <c r="B7" s="12" t="inlineStr">
        <is>
          <t>PROCEDURE add_match(match_id NUMBER, season VARCHAR2, stage NUMBER, match_date DATE, home_team_id NUMBER, away_team_id NUMBER)
AS
p_match_id matches.match_id%TYPE;
p_season matches.season%TYPE;
p_stage matches.stage%TYPE;
p_match_date matches.match_date%TYPE;
p_home_team_id matches.home_team_id%TYPE;
p_away_team_id matches.away_team_id%TYPE;
home_team_goal NULL;
away_team_goal NULL;
BEGIN
 IF p_home_team_id = p_away_team_id THEN
 RAISE_APPLICATION_ERROR(-20001, 'Same team cannot play itself');
END IF;
INSERT INTO matches (match_id NUMBER, season VARCHAR2, stage NUMBER, match_date DATE, home_team_id NUMBER, away_team_id NUMBER)
END add_match;</t>
        </is>
      </c>
      <c r="C7" s="13" t="n">
        <v>1.5</v>
      </c>
      <c r="D7" s="13" t="n">
        <v>3</v>
      </c>
      <c r="E7" s="13" t="n">
        <v>2</v>
      </c>
      <c r="F7" s="13" t="n">
        <v>1.5</v>
      </c>
      <c r="G7" s="14">
        <f>SUM(C7:F7)</f>
        <v/>
      </c>
      <c r="H7" s="15" t="inlineStr">
        <is>
          <t>Header: missing CREATE OR REPLACE, params use column names not p_ prefix (match_id not p_match_id), then re-declares as %TYPE variables in body — confused approach. Validation correct. INSERT present but includes datatypes in column list (match_id NUMBER instead of match_id), no VALUES clause. Goals assigned as NULL in DECLARE but not inserted. Structure has BEGIN/END.</t>
        </is>
      </c>
    </row>
    <row r="8" ht="200" customHeight="1">
      <c r="A8" s="2" t="inlineStr">
        <is>
          <t>Nathan Hoang</t>
        </is>
      </c>
      <c r="B8" s="12" t="inlineStr">
        <is>
          <t>CREATE OR REPLACE PROCEDURE add_match(
   p_match_id   NUMBER,
   p_season   NUMBER,
   p_stage   NUMBER,
   p_match_date   DATE,
   p_home_team_id   NUMBER,
   p_away_team_id   NUMBER,
)
IS
BEGIN
   IF p_home_team_id = p_away_team_id THEN
      RAISE_APPLICATION_ERROR(-20001, 'Teams cant be the same');
END IF; 
INSERT INTO MATCHES(
   match_id,
   season,
   stage,
   match_date,
   home_team_id,
   away_team_id,
   home_team_goal,
   away_team_goal
)
VALUES(
   p_match_id,
   p_season,
   p_stage,
   p_match_date,
   p_home_team_id,
   p_away_team_id,
   NULL;
END;</t>
        </is>
      </c>
      <c r="C8" s="13" t="n">
        <v>2</v>
      </c>
      <c r="D8" s="13" t="n">
        <v>3</v>
      </c>
      <c r="E8" s="13" t="n">
        <v>4</v>
      </c>
      <c r="F8" s="13" t="n">
        <v>2</v>
      </c>
      <c r="G8" s="14">
        <f>SUM(C8:F8)</f>
        <v/>
      </c>
      <c r="H8" s="15" t="inlineStr">
        <is>
          <t>Header correct with 6 params. Trailing comma after last param. Validation correct before INSERT. INSERT: correct structure, all 8 cols listed, but VALUES missing closing entries — only shows NULL once (should be NULL, NULL). Missing closing paren. Structure clean with IS/BEGIN/END.</t>
        </is>
      </c>
    </row>
    <row r="9" ht="200" customHeight="1">
      <c r="A9" s="2" t="inlineStr">
        <is>
          <t>Himanshu Ladole</t>
        </is>
      </c>
      <c r="B9" s="12" t="inlineStr">
        <is>
          <t>CREATE OR REPLACE PROCEDURE add_match ( p_match_id, p_season, p_stage, p_match_date, p_home_team_id, p_away_team_id ) AS
BEGIN</t>
        </is>
      </c>
      <c r="C9" s="13" t="n">
        <v>1</v>
      </c>
      <c r="D9" s="13" t="n">
        <v>0</v>
      </c>
      <c r="E9" s="13" t="n">
        <v>0</v>
      </c>
      <c r="F9" s="13" t="n">
        <v>0.5</v>
      </c>
      <c r="G9" s="14">
        <f>SUM(C9:F9)</f>
        <v/>
      </c>
      <c r="H9" s="15" t="inlineStr">
        <is>
          <t>Header: has params but no datatypes. Only BEGIN, no validation, no INSERT, incomplete.</t>
        </is>
      </c>
    </row>
    <row r="10" ht="200" customHeight="1">
      <c r="A10" s="2" t="inlineStr">
        <is>
          <t>Sydney Mendez</t>
        </is>
      </c>
      <c r="B10" s="12" t="inlineStr">
        <is>
          <t>CREATE OR REPLACE PROCEDURE add_match(
p_match_id IN MATCHES.match_id%TYPE,
p_season IN MATCHES.season_id%TYPE,
p_stage IN MATCHES.stage_id%TYPE,
p_match_date IN MATCHES.date_id%TYPE,
p_home_team_id IN MATCHES.home_team_idid%TYPE,
p_away_team_id IN MATCHES.away_team_id%TYPE
IS
BEGIN IF p_home_team_id= P-away_team_id THEN
RAISE_APPLICATION_ERROR(-20001, 'Home and away teams cannot be the same');
END IF;
INSERT INTO MATCHES (match_id, season, stage, match_date, home_team, away_team</t>
        </is>
      </c>
      <c r="C10" s="13" t="n">
        <v>2</v>
      </c>
      <c r="D10" s="13" t="n">
        <v>2.5</v>
      </c>
      <c r="E10" s="13" t="n">
        <v>1</v>
      </c>
      <c r="F10" s="13" t="n">
        <v>1</v>
      </c>
      <c r="G10" s="14">
        <f>SUM(C10:F10)</f>
        <v/>
      </c>
      <c r="H10" s="15" t="inlineStr">
        <is>
          <t>Header: uses %TYPE correctly, 6 params but some wrong column references (season_id, stage_id, date_id dont exist, home_team_idid typo). Validation: present but P-away (dash not underscore). INSERT: started but incomplete — cuts off mid-statement. Structure incomplete.</t>
        </is>
      </c>
    </row>
    <row r="11" ht="200" customHeight="1">
      <c r="A11" s="2" t="inlineStr">
        <is>
          <t>Celest Moreira</t>
        </is>
      </c>
      <c r="B11" s="12" t="inlineStr">
        <is>
          <t>CREATE OR REPLACE PROCEDURE add_match( 
p_match_id NUMBER;
p_season NUMBER; 
p_stage NUMBER;
p_match_date DATE;
p_home_team_id NUMBER;
p_away_team_id NUMBER;
)
IS
BEGIN
      IF p_home_team_id = p_away_team_id THEN RAISE_APPLICATION_ERROR(-20001, ' A team cannot play itself');
      END IF; 
      INSERT INTO MATCHES(
           match_id,
           season,
           stage,
           match_date,
           home_team_id,
           away_team_id,
           home_team_goal,
           away_team_goal)
      VALUES(
           p_match_id,
          p_season,
          p_stage,
         p_match_date,
         p_home_team_id,
         p_away_team_id, NULL, NULL);
END;
/</t>
        </is>
      </c>
      <c r="C11" s="13" t="n">
        <v>1.5</v>
      </c>
      <c r="D11" s="13" t="n">
        <v>3</v>
      </c>
      <c r="E11" s="13" t="n">
        <v>5</v>
      </c>
      <c r="F11" s="13" t="n">
        <v>2</v>
      </c>
      <c r="G11" s="14">
        <f>SUM(C11:F11)</f>
        <v/>
      </c>
      <c r="H11" s="15" t="inlineStr">
        <is>
          <t>Header: semicolons instead of commas between params. Validation correct. INSERT: perfect — all 8 cols, params correct, NULL for goals. Structure clean. Minor: semicolons in param list.</t>
        </is>
      </c>
    </row>
    <row r="12" ht="200" customHeight="1">
      <c r="A12" s="2" t="inlineStr">
        <is>
          <t>Michael Nguyen</t>
        </is>
      </c>
      <c r="B12" s="12" t="inlineStr">
        <is>
          <t>CREATE OT REPLACE procedure add_match (
p_match_id number, p_season number, p_stage varchar2, p_match_date date, p_home_team_id number, p_away_team_id number)
as
BEGIN
IF p_home_team_id = p_away_team_id then
raise_applicatoin_error (-20001, 'teams cant be the same');
END IF;
INSERT into matches
values (p_match_id, p_season, p_stage, p_match_date, p_home_team_id, p_away_team_id, null);
END;</t>
        </is>
      </c>
      <c r="C12" s="13" t="n">
        <v>1.5</v>
      </c>
      <c r="D12" s="13" t="n">
        <v>3</v>
      </c>
      <c r="E12" s="13" t="n">
        <v>3.5</v>
      </c>
      <c r="F12" s="13" t="n">
        <v>2</v>
      </c>
      <c r="G12" s="14">
        <f>SUM(C12:F12)</f>
        <v/>
      </c>
      <c r="H12" s="15" t="inlineStr">
        <is>
          <t>Header: "CREATE OT REPLACE" typo, "raise_applicatoin_error" typo. Validation correct. INSERT: uses VALUES shorthand (no column list), but only 7 values (one NULL instead of two). Structure clean.</t>
        </is>
      </c>
    </row>
    <row r="13" ht="200" customHeight="1">
      <c r="A13" s="2" t="inlineStr">
        <is>
          <t>Thuy Tien Nguyen</t>
        </is>
      </c>
      <c r="B13" s="12" t="inlineStr">
        <is>
          <t>CREATE OR REPLACE PROCEDURE add_match(home_team_goal,
                                                                                  away_team_goal) AS
v_home%TYPE;
v_away%TYPE;
BEGIN
  INSERT INTO MATCHES 
  VALUES v_home, v_away;
  IF p_home_team_id = v_away_team_id THEN
    RAISE_APPLICATION_ERROR(-20001, 'Home team and Away team are the same!');
  END IF;
END;</t>
        </is>
      </c>
      <c r="C13" s="13" t="n">
        <v>0.5</v>
      </c>
      <c r="D13" s="13" t="n">
        <v>1</v>
      </c>
      <c r="E13" s="13" t="n">
        <v>1</v>
      </c>
      <c r="F13" s="13" t="n">
        <v>0.5</v>
      </c>
      <c r="G13" s="14">
        <f>SUM(C13:F13)</f>
        <v/>
      </c>
      <c r="H13" s="15" t="inlineStr">
        <is>
          <t>Header: only 2 params (home_team_goal, away_team_goal — wrong params entirely). Validation: checks p_home = v_away (wrong variables). INSERT present but no column list, wrong values. Very confused overall.</t>
        </is>
      </c>
    </row>
    <row r="14" ht="200" customHeight="1">
      <c r="A14" s="2" t="inlineStr">
        <is>
          <t>Reyna Singh</t>
        </is>
      </c>
      <c r="B14" s="12" t="inlineStr">
        <is>
          <t>CREATE OR REPLACE PROCEDURE add_match (
p_match_id IN MATCHES.match_id%TYPE,
p_season IN MATCHES.match.season%TYPE,
p_stage IN MATCHES.stage%TYPE,
p_match_date IN MATCHES.match_date%TYPE,
p_home_team_id IN MATCHES.home_team_id%TYPE,
p_away_team_id IN MATCHES.away_team_id%TYPE) AS
BEGIN
IF p_home_team_id = p_away_team_id THEN
RAISE_APPLICATION_ERROR(-20001, 'A team cannot play by itself');
INSERT INTO MATCHES (
match_id,
season,
stage,
match_date,
home_team_id,
away_team_id, 
home_team_goal,
away_team_goal,
)
VALUES (
p_match_id,
p_season,
p_stage,</t>
        </is>
      </c>
      <c r="C14" s="13" t="n">
        <v>2</v>
      </c>
      <c r="D14" s="13" t="n">
        <v>2.5</v>
      </c>
      <c r="E14" s="13" t="n">
        <v>3</v>
      </c>
      <c r="F14" s="13" t="n">
        <v>1.5</v>
      </c>
      <c r="G14" s="14">
        <f>SUM(C14:F14)</f>
        <v/>
      </c>
      <c r="H14" s="15" t="inlineStr">
        <is>
          <t>Header: %TYPE used well, "MATCHES.match.season%TYPE" wrong ref but intent clear. Validation: correct check but missing END IF before INSERT (runs together). INSERT: starts correctly with all 8 cols but VALUES section cut off — incomplete submission.</t>
        </is>
      </c>
    </row>
    <row r="15" ht="200" customHeight="1">
      <c r="A15" s="2" t="inlineStr">
        <is>
          <t>Wayne Wilhelm</t>
        </is>
      </c>
      <c r="B15" s="12" t="inlineStr">
        <is>
          <t>CREATE OR REPLACE PROCEDURE add_match
(p_match_id IN NUMBER,
p_season IN NUMBER ,
p_stage IN NUMBER, 
p_match_date IN DATE, 
p_home_team_id IN VARCHAR2, 
p_away_team_id IN VARCHAR2)
AS
BEGIN 
INSERT INTO MATCHES
(match_id,
match_date,
home_team_id
away_team_id)
VALUES
(p_match_id, p_season, p_stage, p_match_date, p_home_team_id, p_away_team_id);</t>
        </is>
      </c>
      <c r="C15" s="13" t="n">
        <v>2</v>
      </c>
      <c r="D15" s="13" t="n">
        <v>0</v>
      </c>
      <c r="E15" s="13" t="n">
        <v>2.5</v>
      </c>
      <c r="F15" s="13" t="n">
        <v>1</v>
      </c>
      <c r="G15" s="14">
        <f>SUM(C15:F15)</f>
        <v/>
      </c>
      <c r="H15" s="15" t="inlineStr">
        <is>
          <t>Header correct with 6 params (team IDs as VARCHAR2 — wrong type but has params). No validation. INSERT present but missing some columns (no season, stage in column list but has them in VALUES). No goals=NULL. Missing END.</t>
        </is>
      </c>
    </row>
    <row r="16" ht="200" customHeight="1">
      <c r="A16" s="2" t="inlineStr">
        <is>
          <t>Nicholas Nguyen</t>
        </is>
      </c>
      <c r="B16" s="12" t="inlineStr">
        <is>
          <t>CREATE OR REPLACE PROCEDURE add_match(
p_match_id MATCHES.match_id%TYPE,
p_season MATCHES.season%TYPE,
p_match_date MATCHES.match_date%TYPE,
p_home_team_id MATCHES.home_team_id%TYPE,
p_away_team_id MATCHES.away_team_id%TYPE,
p_stage MATCHES.stage%TYPE,
) AS
v_home_team_goal NUMBER := NULL;
v_away_team_goal NUMBER := NULL;
BEGIN
IF NOT p_home_team_id = p_away_team_id THEN
INSERT INTO MATCHES (match_id, season, stage, match_date, home_team_id, away_team_id)
VALUES (p_match_id, p_season, p_stage, p_match_date, p_home_team_id, p_away_team_id);
ELSE
RAISE_APPLICATION_ERROR(-20001, 'Error: Cannot assign same value to home_team_id and away_team_id');
END IF;
END;</t>
        </is>
      </c>
      <c r="C16" s="13" t="n">
        <v>2</v>
      </c>
      <c r="D16" s="13" t="n">
        <v>2.5</v>
      </c>
      <c r="E16" s="13" t="n">
        <v>3.5</v>
      </c>
      <c r="F16" s="13" t="n">
        <v>2</v>
      </c>
      <c r="G16" s="14">
        <f>SUM(C16:F16)</f>
        <v/>
      </c>
      <c r="H16" s="15" t="inlineStr">
        <is>
          <t>Header: %TYPE correctly, 6 params (trailing comma). Validation: uses IF NOT ... THEN INSERT ELSE RAISE — inverted but logically correct. INSERT: 6 cols (missing goal columns), goals declared as local vars = NULL but not inserted. Structure clean with good RAISE_APPLICATION_ERROR.</t>
        </is>
      </c>
    </row>
    <row r="17" ht="200" customHeight="1">
      <c r="A17" s="2" t="inlineStr">
        <is>
          <t>Anthony Sierra</t>
        </is>
      </c>
      <c r="B17" s="12" t="inlineStr">
        <is>
          <t>-- CREATE -- 
CREATE OR REPLACE PROCEDURE add_match ( 
  p_match_id          IN matches.match_id%TYPE, 
  p_season             IN matches.season%TYPE, 
  p_stage                IN matches.stage%TYPE,
  p_match_date      IN matches.match_date%TYPE, 
 p_home_team_id  IN matches.home_team_id%TYPE,
 p_away_team_id   IN matched.away_team_id%TYPE, 
) IS 
--BEGIN-- 
BEGIN 
IF p_home_team_id = p_away_team_id THEN 
     RAISE_APPLICATION_ERROR (-20001, 'home team and away team cannot be the same.') ; 
END IF; 
--INSERT-- 
INSERT INTO matches ( 
   match_id, 
   season, 
   stage, 
   match_date, 
   home_team_id, 
   awat_team_id 
   home_team_goal 
   away_team_goal
) 
VALUES
p_match_id,
p_season, 
p_stage, 
p_match_date,
p_home_team_id, 
p_away_team_id, 
NULL, 
NULL 
); 
--END-- 
END add_match; 
/</t>
        </is>
      </c>
      <c r="C17" s="13" t="n">
        <v>2</v>
      </c>
      <c r="D17" s="13" t="n">
        <v>3</v>
      </c>
      <c r="E17" s="13" t="n">
        <v>4</v>
      </c>
      <c r="F17" s="13" t="n">
        <v>2</v>
      </c>
      <c r="G17" s="14">
        <f>SUM(C17:F17)</f>
        <v/>
      </c>
      <c r="H17" s="15" t="inlineStr">
        <is>
          <t>Header: %TYPE used well, "matched.away" typo, trailing comma. Validation correct. INSERT: correct 8 cols, but missing opening paren in VALUES, missing comma between away_team_id and home_team_goal. Goals=NULL. Good comments. Structure clean.</t>
        </is>
      </c>
    </row>
    <row r="18" ht="200" customHeight="1">
      <c r="A18" s="2" t="inlineStr">
        <is>
          <t>Ken Tran</t>
        </is>
      </c>
      <c r="B18" s="12" t="inlineStr">
        <is>
          <t>CREATE OR REPLACE PROCEDURE add_match (
p_match_ID IN MATCHES.match_id%TYPE,
p_season IN MATCHES.season%TYPE,
p_stage IN MATCHES.stage%TYPE,
p_match_date IN MATCHES.match_date%TYPE,
p_home_team_id IN MATCHES.home_team_id%TYPE,
p_away_team_id IN MATCHES.away_team_id%TYPE) AS
BEGIN 
     IF p_home_team_id = p_away_team_id THEN
   RAISE_APPLICATION_ERROR (-20006, 'A team cannot play against itself.')
    END IF;
INSERT INTO MATCHES (
match_id,
season,
stage,
match_date,
home_team_id,
away_team_id,
home_team_goal,
away_team_goal) VALUES (
p_match_id,
p_season,
p_stage,
p_match_date,
p_home_team_id,
p_away_team_id,
NULL, NULL);
END;</t>
        </is>
      </c>
      <c r="C18" s="13" t="n">
        <v>2</v>
      </c>
      <c r="D18" s="13" t="n">
        <v>3</v>
      </c>
      <c r="E18" s="13" t="n">
        <v>5</v>
      </c>
      <c r="F18" s="13" t="n">
        <v>2</v>
      </c>
      <c r="G18" s="14">
        <f>SUM(C18:F18)</f>
        <v/>
      </c>
      <c r="H18" s="15" t="inlineStr">
        <is>
          <t>Header: %TYPE used correctly. Validation: correct, missing semicolon after RAISE. INSERT: perfect — all 8 cols, correct params, NULL for goals. Structure clean.</t>
        </is>
      </c>
    </row>
    <row r="19" ht="200" customHeight="1">
      <c r="A19" s="2" t="inlineStr">
        <is>
          <t>Dan Brendza</t>
        </is>
      </c>
      <c r="B19" s="12" t="inlineStr">
        <is>
          <t>CREATE OR REPLACE PROCEDURE add_match (p_match_id MATCHES.match_id%TYPE, p_season MATCHES.season%TYPE, p_stage MATCHES.stage%TYPE, p_match_date MATCHES.match_date%TYPE, p_home_team_id MATCHES.home_team_id%TYPE, p_away_team_id MATCHES.away_team_id%TYPE) AS
DECLARE
   v_home_team_goal NUMBER := 0;
   v_away_team_goal NUMBER := 0;
BEGIN
   IF p_home_team_id = p_away_team_id THEN
      RAISE_APPLICATION_ERROR(-20001, 'A team cannot play against itself');
   ELSE
      INSERT INTO MATCHES (match_id, season, stage, match_date, home_team_id, away_team_id, home_team_goal, away_team_goal)
      VALUES (p_match_id, p_season, p_stage, p_match_date, p_home_team_id, p_away_team_id, v_home_team_goal, v_away_team_goal);
   END IF;
END;</t>
        </is>
      </c>
      <c r="C19" s="13" t="n">
        <v>2</v>
      </c>
      <c r="D19" s="13" t="n">
        <v>3</v>
      </c>
      <c r="E19" s="13" t="n">
        <v>3.5</v>
      </c>
      <c r="F19" s="13" t="n">
        <v>1.5</v>
      </c>
      <c r="G19" s="14">
        <f>SUM(C19:F19)</f>
        <v/>
      </c>
      <c r="H19" s="15" t="inlineStr">
        <is>
          <t>Header: %TYPE correctly. DECLARE in procedure (should be between IS and BEGIN — acceptable). Validation correct. INSERT correct with all 8 cols BUT goals initialized to 0 not NULL (-1.5). Uses ELSE to wrap INSERT (functional but inverts the usual pattern). Structure has minor issue with DECLARE placement.</t>
        </is>
      </c>
    </row>
    <row r="20" ht="200" customHeight="1">
      <c r="A20" s="2" t="inlineStr">
        <is>
          <t>Aiden Linderman</t>
        </is>
      </c>
      <c r="B20" s="12" t="inlineStr">
        <is>
          <t>CREATE OR REPLACE PROCEDURE add_match(
       p_match_id   NUMBER,
       p_season      VARCHAR2,
       p_stage         VARCHAR2,
       p_match_date  NUMBER,
       p_home_team_id   NUMBER,
       p_away_team_id    NUMBER,
)  IS
      v_home_team_goal NUMBER(25);
      v_away_team_goal NUMBER(25);
BEGIN
       INSERT INTO MATCHES ()
     v_home_team_goal := NULL;
     v_away_team_goal := NULL;
      IF p_home_team_id = p_away_team_id THEN
           RAISE_APPLICATION_ERROR (-20001, 'Teams are the same');
      END IF;
END;</t>
        </is>
      </c>
      <c r="C20" s="13" t="n">
        <v>2</v>
      </c>
      <c r="D20" s="13" t="n">
        <v>2.5</v>
      </c>
      <c r="E20" s="13" t="n">
        <v>1</v>
      </c>
      <c r="F20" s="13" t="n">
        <v>1.5</v>
      </c>
      <c r="G20" s="14">
        <f>SUM(C20:F20)</f>
        <v/>
      </c>
      <c r="H20" s="15" t="inlineStr">
        <is>
          <t>Header: 6 params, trailing comma. Validation: correct check and RAISE, but AFTER INSERT (not before — deduct 0.5). INSERT: empty parens — INSERT INTO MATCHES () with no columns or values. Goals assigned to NULL as variables but never inserted. Declares v_home/away_team_goal.</t>
        </is>
      </c>
    </row>
    <row r="21" ht="200" customHeight="1">
      <c r="A21" s="2" t="inlineStr">
        <is>
          <t>Kyle Duong</t>
        </is>
      </c>
      <c r="B21" s="12" t="inlineStr">
        <is>
          <t>CREATE OR REPLACE PROCEDURE add_match AS
DECLARE
v_home_team_goal
v_away_team_goal</t>
        </is>
      </c>
      <c r="C21" s="13" t="n">
        <v>0.5</v>
      </c>
      <c r="D21" s="13" t="n">
        <v>0</v>
      </c>
      <c r="E21" s="13" t="n">
        <v>0</v>
      </c>
      <c r="F21" s="13" t="n">
        <v>0</v>
      </c>
      <c r="G21" s="14">
        <f>SUM(C21:F21)</f>
        <v/>
      </c>
      <c r="H21" s="15" t="inlineStr">
        <is>
          <t>Only 4 lines: procedure name, DECLARE, two variable names. No params, no body, no INSERT, no validation.</t>
        </is>
      </c>
    </row>
    <row r="22" ht="200" customHeight="1">
      <c r="A22" s="2" t="inlineStr">
        <is>
          <t>Nathan Jalandoni</t>
        </is>
      </c>
      <c r="B22" s="12" t="inlineStr">
        <is>
          <t>CREATE OR REPLACE PROCEDURE add_match(
     p_match_id NUMBER,
     p_season VARCHAR2,
     p_stage VARCHAR2,
     p_match_date DATE,
     p_home_team_id NUMBER,
     p_away_team_id NUMBER
)
IS
BEGIN
     IF p_home_team_id = p_away_team_id THEN
          RAISE_APPLICATION_ERROR(-20001, 'A team cannot play itself');
     END IF;
     INSERT INTO MATCHES
     (match_id, season, stage, match_date, home_team_id, p_away_team_id, NULL, NULL);
END;
/</t>
        </is>
      </c>
      <c r="C22" s="13" t="n">
        <v>2</v>
      </c>
      <c r="D22" s="13" t="n">
        <v>3</v>
      </c>
      <c r="E22" s="13" t="n">
        <v>4</v>
      </c>
      <c r="F22" s="13" t="n">
        <v>2</v>
      </c>
      <c r="G22" s="14">
        <f>SUM(C22:F22)</f>
        <v/>
      </c>
      <c r="H22" s="15" t="inlineStr">
        <is>
          <t>Header: 6 params correct. Validation correct. INSERT: correct table, has VALUES with params and NULL, NULL — but mixed column list with p_away_team_id (param name in column list) and syntax slightly off (comma before NULL). Structure clean.</t>
        </is>
      </c>
    </row>
    <row r="23" ht="200" customHeight="1">
      <c r="A23" s="2" t="inlineStr">
        <is>
          <t>Maria Visoso</t>
        </is>
      </c>
      <c r="B23" s="12" t="inlineStr">
        <is>
          <t>CREATE [OR REPLACE] PROCEDURE  add_match(
p_match_id, p_season, p_stage, p_match_date, p_home_team_id, p_away_team_id) AS 
DECLARE
home_team_goal%type
away_team_goal%type
BEGIN 
   SELECT p_match_id, p_season, p_stage, p_match_date, p_home_team_id, p_away_team_id 
   FROM *
   WHERE p_match_id = m_match_id 
SELECT INTO SQL%ROWCOUNT
IF SQL%FOUND THEN
DBMS_OUTPUT.PUT_LINE('Update Complete')
IF  SQL%NOTFOUND THEN
DMBS_OUTPUT.PUT_LINE('There is no record to be updated.');
END IF; 
DBMS_OUTPUT.PUT_LINE(There are '||sql%rowcount||' Records Updated.')
END;
EXECUTE</t>
        </is>
      </c>
      <c r="C23" s="13" t="n">
        <v>1</v>
      </c>
      <c r="D23" s="13" t="n">
        <v>0</v>
      </c>
      <c r="E23" s="13" t="n">
        <v>0</v>
      </c>
      <c r="F23" s="13" t="n">
        <v>0.5</v>
      </c>
      <c r="G23" s="14">
        <f>SUM(C23:F23)</f>
        <v/>
      </c>
      <c r="H23" s="15" t="inlineStr">
        <is>
          <t>Header: brackets around OR REPLACE, params without datatypes. Uses SELECT instead of INSERT. Checks SQL%FOUND/NOTFOUND — wrong approach entirely. No validation for same team. No INSERT. EXECUTE at end.</t>
        </is>
      </c>
    </row>
    <row r="24" ht="200" customHeight="1">
      <c r="A24" s="2" t="inlineStr">
        <is>
          <t>Angelina Nguyen</t>
        </is>
      </c>
      <c r="B24" s="12" t="inlineStr">
        <is>
          <t>CREATE OR REPLACE PROCEDURE add_match(p_match_id MATCHES.match_id%TYPE, p_season MATCHES.season%TYPE, p_stage MATCHES.stage%TYPE, p_match_date MATCHES.match_date%TYPE , p_home_team_id MATCHES.home_team_id%TYPE, p_away_team_id MATHCES.away_team_id%TYPE) AS
v_home_team_goal SET NULL;
v_away_team_goal SET NULL;
BEGIN
SELECT FROM MATCHES m
INNER JOIN p_match_id = m.match_id;
LEFT JOIN p_season = m.season;
LEFT JOIN p_stage = m.stage;
LEFT JOIN p_match_date = m.match_date;
LEFT JOIN p_home_team_id = m.home_team_id;
LEFT JOIN p_away_team_id = m.away_team_id;
IF p_home_team_goal = p_away_team_goal THEN
RAISE_APPLICATION_ERROR(-20001, 'TEAM GOALS CANNOT BE THE SAME')
END IF;
END;</t>
        </is>
      </c>
      <c r="C24" s="13" t="n">
        <v>2</v>
      </c>
      <c r="D24" s="13" t="n">
        <v>1</v>
      </c>
      <c r="E24" s="13" t="n">
        <v>0</v>
      </c>
      <c r="F24" s="13" t="n">
        <v>1</v>
      </c>
      <c r="G24" s="14">
        <f>SUM(C24:F24)</f>
        <v/>
      </c>
      <c r="H24" s="15" t="inlineStr">
        <is>
          <t>Header: %TYPE used correctly, 6 params. Validation: checks home_team_goal = away_team_goal (wrong — should compare team IDs, not goals). No INSERT — uses SELECT/JOIN instead. "SET NULL" instead of := NULL. Structure has BEGIN/END.</t>
        </is>
      </c>
    </row>
    <row r="25" ht="200" customHeight="1">
      <c r="A25" s="2" t="inlineStr">
        <is>
          <t>Daniela Bribiesca</t>
        </is>
      </c>
      <c r="B25" s="12" t="inlineStr">
        <is>
          <t>create or replace a procedure add_match(
p_match_id Matches.match_id%type,
p_season Matches.match_id%type,
p_stage Matches.match_id%type,
p_match_date Matches.match_id%type, 
p_home_team_id Matches.match_id%type,
p_away_team_id Matches.match_id%type)
As 
v_count Number;
select count(*) Into v_count 
from matches Where match_id = p_match_id 
if home_team_goal is Null 
elsif away_team_goal is Null
then raise_application_error (-2001, 'Error')
End;
/</t>
        </is>
      </c>
      <c r="C25" s="13" t="n">
        <v>1.5</v>
      </c>
      <c r="D25" s="13" t="n">
        <v>0.5</v>
      </c>
      <c r="E25" s="13" t="n">
        <v>0</v>
      </c>
      <c r="F25" s="13" t="n">
        <v>1</v>
      </c>
      <c r="G25" s="14">
        <f>SUM(C25:F25)</f>
        <v/>
      </c>
      <c r="H25" s="15" t="inlineStr">
        <is>
          <t>Header: "create or replace a procedure" (extra "a"), %TYPE used but all reference match_id type (wrong). SELECT COUNT in body instead of INSERT. Checks NULL goals but with wrong syntax (if...elsif...then). No INSERT statement. No team validation. Has END.</t>
        </is>
      </c>
    </row>
    <row r="26" ht="200" customHeight="1">
      <c r="A26" s="2" t="inlineStr">
        <is>
          <t>Isaiah Sage Auste</t>
        </is>
      </c>
      <c r="B26" s="12" t="inlineStr">
        <is>
          <t>CREATE OR REPLACE PROCEDURE add_match
(p_match_ID NUMBER, p_season NUMBER, p_stage NUMBER, p_match_date NUMBER, p_home_team_id NUMBER, p_away_team_id NUMBER)
IS
BEGIN
IF p_home_team_id = p_away_team_id THEN
RAISE_APPLICATION_ERROR(-20001, 'Cannot be same team');
END IF;
INSERT INTO MATCHES (match_id, season, stage, match_date, home_team_id, away_team_id, home_team_goal, away_team_goal)
VALUES (p_match_id, p_season, p_stage, p_match_date, p_home_team_id, p_away_team_id, NULL, NULL);
END;</t>
        </is>
      </c>
      <c r="C26" s="13" t="n">
        <v>2</v>
      </c>
      <c r="D26" s="13" t="n">
        <v>3</v>
      </c>
      <c r="E26" s="13" t="n">
        <v>5</v>
      </c>
      <c r="F26" s="13" t="n">
        <v>2</v>
      </c>
      <c r="G26" s="14">
        <f>SUM(C26:F26)</f>
        <v/>
      </c>
      <c r="H26" s="15" t="inlineStr">
        <is>
          <t>Header correct. Validation correct. INSERT: perfect — all 8 cols, params, NULL, NULL. Structure clean. Excellent answer.</t>
        </is>
      </c>
    </row>
    <row r="27" ht="200" customHeight="1">
      <c r="A27" s="2" t="inlineStr">
        <is>
          <t>Nioni England</t>
        </is>
      </c>
      <c r="B27" s="12" t="inlineStr">
        <is>
          <t>CREATE OR REPLACE PROCEDURE add_match(
      p_match_id, p_season, p_stage, p_match_date, p_home_team_id, p_away_team_id) AS
 v_home NUMBER;
v_away NUMBER;
      home_team_goal := NULL
      away_team_goal := NULL
BEGIN
    INSERT INTO MATCHES (v_home
EXCEPTION
WHEN p_home_team_id = p_away_team_id THEN
    RAISE_APPLICATION_ERROR;
END;</t>
        </is>
      </c>
      <c r="C27" s="13" t="n">
        <v>1</v>
      </c>
      <c r="D27" s="13" t="n">
        <v>1</v>
      </c>
      <c r="E27" s="13" t="n">
        <v>1</v>
      </c>
      <c r="F27" s="13" t="n">
        <v>0.5</v>
      </c>
      <c r="G27" s="14">
        <f>SUM(C27:F27)</f>
        <v/>
      </c>
      <c r="H27" s="15" t="inlineStr">
        <is>
          <t>Header: params without datatypes. Goals assigned to NULL outside BEGIN (wrong placement). INSERT attempted but incomplete. Validation in EXCEPTION block (wrong — WHEN is for Oracle exceptions, not custom conditions). RAISE present but no error number or message.</t>
        </is>
      </c>
    </row>
    <row r="28" ht="200" customHeight="1">
      <c r="A28" s="2" t="inlineStr">
        <is>
          <t>Vanessa Nguyen</t>
        </is>
      </c>
      <c r="B28" s="12" t="inlineStr">
        <is>
          <t>CREATE OR REPLACE PROCEDURE add_match(p_match__id, p_season, p_stage, p_match_date, p_home_team_id, p_away_team_id) AS
home_team_goal = NULL
away_team_goal = NULL
BEGIN
  INSERT INTO MATCHES(match_id,season,stage,match_date,home_team,away_team)
  VALUES (p_match_id, p_season, p_stage, p_match_date, p_home_team_id, p_away_team_id);
   IF p_home_team_id = p_away_team_id THEN
   RAISE_APPLICATION_ERROR(-20001)
END;
/</t>
        </is>
      </c>
      <c r="C28" s="13" t="n">
        <v>1</v>
      </c>
      <c r="D28" s="13" t="n">
        <v>2</v>
      </c>
      <c r="E28" s="13" t="n">
        <v>3</v>
      </c>
      <c r="F28" s="13" t="n">
        <v>1</v>
      </c>
      <c r="G28" s="14">
        <f>SUM(C28:F28)</f>
        <v/>
      </c>
      <c r="H28" s="15" t="inlineStr">
        <is>
          <t>Header: params without datatypes. Goals set with = not := (wrong syntax). INSERT: correct table, 6 cols but missing goal columns. VALUES correct with params. Validation: present but AFTER INSERT. Missing END IF. Missing semicolons.</t>
        </is>
      </c>
    </row>
    <row r="29" ht="200" customHeight="1">
      <c r="A29" s="2" t="inlineStr">
        <is>
          <t>Carlos Caro</t>
        </is>
      </c>
      <c r="B29" s="12" t="inlineStr">
        <is>
          <t>CREATE PROCEDURE add_match( 
         p_match_id, p_season, p_stage, p_match_date, p_home_team_id, p_away_team_id IN matches.col%TYPE
) RETURN</t>
        </is>
      </c>
      <c r="C29" s="13" t="n">
        <v>0.5</v>
      </c>
      <c r="D29" s="13" t="n">
        <v>0</v>
      </c>
      <c r="E29" s="13" t="n">
        <v>0</v>
      </c>
      <c r="F29" s="13" t="n">
        <v>0</v>
      </c>
      <c r="G29" s="14">
        <f>SUM(C29:F29)</f>
        <v/>
      </c>
      <c r="H29" s="15" t="inlineStr">
        <is>
          <t>Header only: CREATE PROCEDURE with params in one IN clause (wrong syntax), includes RETURN (should be a procedure). No body at all.</t>
        </is>
      </c>
    </row>
    <row r="30" ht="200" customHeight="1">
      <c r="A30" s="2" t="inlineStr">
        <is>
          <t>Ian Kim</t>
        </is>
      </c>
      <c r="B30" s="12" t="inlineStr">
        <is>
          <t>-- CREATE OR REPLACE PROCEDURE add_match
    p_match_id%TYPE;
    p_season%TYPE;
    p_match_date%TYPE; 
    v_count NUMBER;
BEGIN
      SELECT COUNT(*)  INTO v_count from NUMBER
      WHERE p_match_id= add_match
      IF v_count = 0 THEN 
                 RAISE_APPLICATION_ERROR(-20001, 
                                                  'Team cannot play itself'  || p_match_id);
     END IF;
     INSERT row MATCHES
     WHERE match_id = add_match</t>
        </is>
      </c>
      <c r="C30" s="13" t="n">
        <v>1</v>
      </c>
      <c r="D30" s="13" t="n">
        <v>2</v>
      </c>
      <c r="E30" s="13" t="n">
        <v>1</v>
      </c>
      <c r="F30" s="13" t="n">
        <v>1</v>
      </c>
      <c r="G30" s="14">
        <f>SUM(C30:F30)</f>
        <v/>
      </c>
      <c r="H30" s="15" t="inlineStr">
        <is>
          <t>Header: commented out CREATE OR REPLACE, params use %TYPE but without table reference. Validation: uses COUNT approach — creative but non-standard, correct RAISE. INSERT: "INSERT row MATCHES WHERE" — wrong syntax. Has BEGIN.</t>
        </is>
      </c>
    </row>
    <row r="31" ht="200" customHeight="1">
      <c r="A31" s="2" t="inlineStr">
        <is>
          <t>Taylor Lewis</t>
        </is>
      </c>
      <c r="B31" s="12" t="inlineStr">
        <is>
          <t>CREATE OR REPLACE PROCEDURE add_match AS 
     p_match_id MATCHES.MATCH_ID%TYPE;
     p_season MATCHES.SEASON%TYPE;
     p_stage MATCHES.STAGE%TYPE;
     p_match_date MATCHES.MATCH_DATE%TYPE;
     p_home_team_id MATCHES.HOME_TEAM_ID%TYPE;
     p_away_team_id MATCHES.AWAY_TEAM%TYPE;
BEGIN
     SELECT
     FROM</t>
        </is>
      </c>
      <c r="C31" s="13" t="n">
        <v>1</v>
      </c>
      <c r="D31" s="13" t="n">
        <v>0</v>
      </c>
      <c r="E31" s="13" t="n">
        <v>0</v>
      </c>
      <c r="F31" s="13" t="n">
        <v>0.5</v>
      </c>
      <c r="G31" s="14">
        <f>SUM(C31:F31)</f>
        <v/>
      </c>
      <c r="H31" s="15" t="inlineStr">
        <is>
          <t>Header: params as local variables (wrong placement, uses %TYPE). BEGIN/SELECT/FROM but incomplete — cuts off. No validation, no INSERT.</t>
        </is>
      </c>
    </row>
    <row r="32" ht="200" customHeight="1">
      <c r="A32" s="2" t="inlineStr">
        <is>
          <t>Ronald Portillo Quinteros</t>
        </is>
      </c>
      <c r="B32" s="12" t="inlineStr">
        <is>
          <t>CREATE OR REPLACE PROCEDURE  add_match
(
p_match_id.smatch%TYPE,
p_season.smatch%TYPE,
p_stage.smatch%TYPE,
p_match_date.smatch%TYPE,
p_home_team_id.smatch%TYPE,
p_away_team_id.smatch%TYPE,
)
AS
v_match NUMBER;
FROM match
WHERE home_team_goal AND away_team_id = NULL;
IF home_team_goal = away_team_goal THEN
RAISE_APPLICATION_ERROR('home and away are the same team');
END IF;
END;</t>
        </is>
      </c>
      <c r="C32" s="13" t="n">
        <v>1</v>
      </c>
      <c r="D32" s="13" t="n">
        <v>1</v>
      </c>
      <c r="E32" s="13" t="n">
        <v>0</v>
      </c>
      <c r="F32" s="13" t="n">
        <v>0.5</v>
      </c>
      <c r="G32" s="14">
        <f>SUM(C32:F32)</f>
        <v/>
      </c>
      <c r="H32" s="15" t="inlineStr">
        <is>
          <t>Header: params use wrong %TYPE references. No INSERT. Has WHERE clause outside SELECT. Validation: checks home_team_goal = away_team_goal (wrong comparison). RAISE missing error number.</t>
        </is>
      </c>
    </row>
    <row r="33" ht="200" customHeight="1">
      <c r="A33" s="2" t="inlineStr">
        <is>
          <t>Luis Ibarra</t>
        </is>
      </c>
      <c r="B33" s="12" t="inlineStr">
        <is>
          <t>CREATE OR REPLACE PROCEDURE add_match( p_match_id NUMBER
, p_season NUMBER
, p_stage NUMBER
, p_match_date DATE
, p_home_team_id NUMBER
, p_away_team_id NUMBER
) IS
BEGIN
IF p_home_team_id = p_away_team_id THEN
RAISE_EAPPLICATION_ERROR(' Team cant play itslef');
END IF;
INSERT INTO MATCHES (
match_id,
season,
stage,
match_date,
home_team_id,
away_team_id,
home_team_goal,
away_team_goal)
VALUES(
p_match_id,
p_season,
p_stage,
p_match_date,
p_home_team_id,
p_away_team_id,
)
END;
/</t>
        </is>
      </c>
      <c r="C33" s="13" t="n">
        <v>2</v>
      </c>
      <c r="D33" s="13" t="n">
        <v>2.5</v>
      </c>
      <c r="E33" s="13" t="n">
        <v>3.5</v>
      </c>
      <c r="F33" s="13" t="n">
        <v>2</v>
      </c>
      <c r="G33" s="14">
        <f>SUM(C33:F33)</f>
        <v/>
      </c>
      <c r="H33" s="15" t="inlineStr">
        <is>
          <t>Header correct with 6 params. Validation: correct check, "RAISE_EAPPLICATION_ERROR" typo, missing error number (-20xxx). INSERT: correct 8 cols but VALUES missing last two (NULL, NULL) — trailing comma, no closing. Structure clean.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8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  <col width="30" customWidth="1" min="9" max="9"/>
  </cols>
  <sheetData>
    <row r="1">
      <c r="A1" s="11" t="inlineStr">
        <is>
          <t>Q12_get_team_points — 12 points total</t>
        </is>
      </c>
    </row>
    <row r="2">
      <c r="A2" s="1" t="inlineStr">
        <is>
          <t>Student Name</t>
        </is>
      </c>
      <c r="B2" s="1" t="inlineStr">
        <is>
          <t>Response</t>
        </is>
      </c>
      <c r="C2" s="1" t="inlineStr">
        <is>
          <t>A. Function header &amp; RETURN (2 pts)</t>
        </is>
      </c>
      <c r="D2" s="1" t="inlineStr">
        <is>
          <t>B. SELECT INTO (3 pts)</t>
        </is>
      </c>
      <c r="E2" s="1" t="inlineStr">
        <is>
          <t>C. Team validation (2 pts)</t>
        </is>
      </c>
      <c r="F2" s="1" t="inlineStr">
        <is>
          <t>D. Match exists &amp; NULL check (2 pts)</t>
        </is>
      </c>
      <c r="G2" s="1" t="inlineStr">
        <is>
          <t>E. Win/draw/loss logic (3 pts)</t>
        </is>
      </c>
      <c r="H2" s="1" t="inlineStr">
        <is>
          <t>Total</t>
        </is>
      </c>
      <c r="I2" s="1" t="inlineStr">
        <is>
          <t>Notes</t>
        </is>
      </c>
    </row>
    <row r="3" ht="200" customHeight="1">
      <c r="A3" s="2" t="inlineStr">
        <is>
          <t>Melaud Shalikar</t>
        </is>
      </c>
      <c r="B3" s="12" t="inlineStr">
        <is>
          <t>CREATE OR REPLACE FUNCTION get_team_points_for_match(
p_match_id NUMBER,
p_team_id NUMBER
) RETURN NUMBER
IS
v_home_team NUMBER;
v_away_team NUMBER;
v_home_goal NUMBER;
v_away_goal NUMBER;
BEGIN
      SELECT home_team_id, away_team_id, home_team_goal, away_team_goal
      INTO v_home_team, v_away_team, v_home_goal, v_away_goal
      FROM MATCHES
      WHERE match_id = p_match_id;
      IF p_team_id != v_home_team AND p_team_id != v_away_team THEN
        RAISE_APPLICATION_ERROR(-2002, 'Invalid team for this match');
      END IF;
      IF v_home_goal IS NULL OR v_away_goal IS NULL THEN
        RAISE_APPLICATION_ERROR(-2003, 'Match not completed');
      IF v_home_goal = v_away_goal THEN
          RETURN 1;
      ELSEIF(p_team_id = v_home_team AND v_home_goal &gt; v_away_goal)
          OR(p_team_id = v_away_team And v_away_team &gt; v_home_goal) THEN
            RETURN 3;
      ElSE
           RETURN 0;
      END IF;
END;
/</t>
        </is>
      </c>
      <c r="C3" s="13" t="n">
        <v>2</v>
      </c>
      <c r="D3" s="13" t="n">
        <v>3</v>
      </c>
      <c r="E3" s="13" t="n">
        <v>2</v>
      </c>
      <c r="F3" s="13" t="n">
        <v>1</v>
      </c>
      <c r="G3" s="13" t="n">
        <v>2</v>
      </c>
      <c r="H3" s="14">
        <f>SUM(C3:G3)</f>
        <v/>
      </c>
      <c r="I3" s="15" t="inlineStr">
        <is>
          <t>Header+RETURN correct. SELECT INTO correct with all 4 cols. Team validation correct (!=...AND !=). Missing END IF on NULL check (only 1 validation complete). Win/draw/loss: draw correct, but ELSEIF instead of ELSIF, and away win logic compares v_away_team &gt; v_home_goal (wrong var name, comparing team to goal). Error numbers -2002/-2003 outside valid range (-0.5).</t>
        </is>
      </c>
    </row>
    <row r="4" ht="200" customHeight="1">
      <c r="A4" s="2" t="inlineStr">
        <is>
          <t>Alyssa Kathryn Espino</t>
        </is>
      </c>
      <c r="B4" s="12" t="inlineStr">
        <is>
          <t>*choosing l for my variable
CREATE OR REPLACE FUNCTION get_team_points_for_match (p_match__id NUMBER, p_team_id NUMBER) RETURN NUMBER 
IS l_home_team_id NUMBER;
    l_away_team_id NUMBER; 
    l_home_goals     NUMBER;
    l_away__goals    NUMBER; 
BEGIN 
        SELECT home_team__id, away_team_id , home_team_goal, away_team_goal INTO l_home_team__id, l_away__team_id, l_home_goals;
           FROM MATCHES WHERE match_id = p_match__id;
IF p_team_id != l_home__team_id and p_team_id != l_away_team_id THEN RAISE_APPLICATION_ERROR(-2001, 'Team not found in match');
END IF; 
IF l_home_goals = l_away_goals THEN RETURN 1; 
ELSIF p_team_id = l_home_team_id AND l_home__goals &gt; l_away_goals THEN RETURN 3; 
ELSIF p_team_id = l_away_team_id AND l_away__goals &gt; l_home_goals THEN RETURN 3; 
ELSE RETURN 0; 
END IF; 
END;</t>
        </is>
      </c>
      <c r="C4" s="13" t="n">
        <v>2</v>
      </c>
      <c r="D4" s="13" t="n">
        <v>2</v>
      </c>
      <c r="E4" s="13" t="n">
        <v>2</v>
      </c>
      <c r="F4" s="13" t="n">
        <v>0</v>
      </c>
      <c r="G4" s="13" t="n">
        <v>2.5</v>
      </c>
      <c r="H4" s="14">
        <f>SUM(C4:G4)</f>
        <v/>
      </c>
      <c r="I4" s="15" t="inlineStr">
        <is>
          <t>Header correct, RETURN NUMBER. SELECT INTO present but missing l_away_goals in INTO clause (only 3 vars for 4 cols), double underscores in var names. Team check correct. No NULL goal check, no NO_DATA_FOUND handling. Win/draw/loss: draw=1 correct, distinguishes home vs away for win=3, but loss should be 0 not what is shown. Error -2001 outside range.</t>
        </is>
      </c>
    </row>
    <row r="5" ht="200" customHeight="1">
      <c r="A5" s="2" t="inlineStr">
        <is>
          <t>Alexis Garcia</t>
        </is>
      </c>
      <c r="B5" s="12" t="inlineStr">
        <is>
          <t>CREATE OR REPLACE PROCEDURE  get_team_points_for_match(p_match_id, p_team_id)</t>
        </is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4">
        <f>SUM(C5:G5)</f>
        <v/>
      </c>
      <c r="I5" s="15" t="inlineStr">
        <is>
          <t>Written as PROCEDURE not FUNCTION. Only header line with no body, no RETURN, no logic at all.</t>
        </is>
      </c>
    </row>
    <row r="6" ht="200" customHeight="1">
      <c r="A6" s="2" t="inlineStr">
        <is>
          <t>Taylor Gensler</t>
        </is>
      </c>
      <c r="B6" s="12" t="inlineStr">
        <is>
          <t>CREATE OR REPLACE FUNCTION get_team_points_for_match
p_match_ID number 
P_team_ID number
) Return number
IS
v_home_team_id MATCChes home_team_id%type
v_away_team_d matches away_team_id%type
BEGIN 
SELECT (hometeamid, awayteamid, hometeamgoal,awayteamgoal
INTO v_hometeamid, vawayteamid, vhomegoals, v awaygoals
FROM MATCHES
WHERE match_id = team_id
IF pteamid = hometeam id and pteamid = vawayteam id
THEN raise_application_error (100'error')
END IF 
IF v_home_goals =  V_away_goals Then 
Return 1 
ELSE IF  p_team_id = v_gome_team and vhome goals &gt; vaway goals OR p team id = away team is and v away goals &gt; v home goals THEN 
Return 3
ELSE 
Return 0 
END IF 
Exception 
WHEN NO DATA FOUND THEN 
END
RETURN
END</t>
        </is>
      </c>
      <c r="C6" s="13" t="n">
        <v>1</v>
      </c>
      <c r="D6" s="13" t="n">
        <v>1</v>
      </c>
      <c r="E6" s="13" t="n">
        <v>0</v>
      </c>
      <c r="F6" s="13" t="n">
        <v>1</v>
      </c>
      <c r="G6" s="13" t="n">
        <v>1</v>
      </c>
      <c r="H6" s="14">
        <f>SUM(C6:G6)</f>
        <v/>
      </c>
      <c r="I6" s="15" t="inlineStr">
        <is>
          <t>Function header attempted but missing opening paren. SELECT INTO attempted but garbled column/var names. No team validation. Has NO_DATA_FOUND exception (1pt for match exists). Win/draw/loss logic attempted but messy, uses ELSE IF not ELSIF. Returns 3/1/0.</t>
        </is>
      </c>
    </row>
    <row r="7" ht="200" customHeight="1">
      <c r="A7" s="2" t="inlineStr">
        <is>
          <t>Joey Ha</t>
        </is>
      </c>
      <c r="B7" s="12" t="inlineStr">
        <is>
          <t>CREATE OR REPLACE FUNCTION get_team_points_for_match(p_match_id NUMBER, p_team_id NUMBER) RETURN NUMBER AS f_team_points NUMBER;
BEGIN
    IF p_match_id is NULL or p_match_id &lt;= 0 THEN 
       RAISE_APPLICATION_ERROR(-20001, 'MATCH NOT FOUND')
END IF;
   IF p_team_id != home_team_id OR p_team_id != away_team_id THEN
      RAISE_APPLICATION_ERROR(-20002, 'ID NOT FOUND')
END IF;
IF home_team_goal IS NULL THEN
     RAISE_APPLICATION_ERROR(-20003, 'GAME NOT COMPLETE');
ELSIF away_team_goal IS NULL THEN
     RAISE_APPLICATION_ERROR(-20003, 'GAME NOT COMPLETE');
END IF;
IF home_team_goal &gt; away_team_goal THEN
RETURN 3;
ELSIF home_team_goal = away_team_goal THEN
RETURN 1;
ELSE home_team_goal &lt; away_team_goal THEN
RETURN 0;
END get_team_points_for_match;</t>
        </is>
      </c>
      <c r="C7" s="13" t="n">
        <v>2</v>
      </c>
      <c r="D7" s="13" t="n">
        <v>0</v>
      </c>
      <c r="E7" s="13" t="n">
        <v>0</v>
      </c>
      <c r="F7" s="13" t="n">
        <v>1</v>
      </c>
      <c r="G7" s="13" t="n">
        <v>1</v>
      </c>
      <c r="H7" s="14">
        <f>SUM(C7:G7)</f>
        <v/>
      </c>
      <c r="I7" s="15" t="inlineStr">
        <is>
          <t>Header and RETURN correct. No SELECT INTO — directly references column names without fetching. Team check uses OR instead of AND (wrong logic). NULL check for both goals present (1pt). Win/draw/loss attempted but only from home perspective, ELSE should not have THEN. Missing END IF.</t>
        </is>
      </c>
    </row>
    <row r="8" ht="200" customHeight="1">
      <c r="A8" s="2" t="inlineStr">
        <is>
          <t>Nathan Hoang</t>
        </is>
      </c>
      <c r="B8" s="12" t="inlineStr">
        <is>
          <t>CREATE OR REPLACE FUNCTION get_team_points_for_match(
   p_match_id   NUMBER,
   p_team_id   NUMBER,
) RETURN NUMBER
IS
   v_home_team_id   NUMBER;
   v_away_team_id   NUMBER;
   v_home_goals   NUMBER;
   v_away_goals   NUMBER;
BEGIN
   SELECT home_team_id, away_team_id, home_team_goal, away_team_goal
   INTO v_home_team_id, v_away_team_id, v_home_goals, v_away_goals
   FROM MATCHES
   WHERE match_id = p_match_id;
IF p_team_id = v_home_team_id AND p_team_id = v_away_team_id THEN
   RAISE_APPLICATION_ERROR(-20001, 'Team not a match');
IF v_home_goal IS NULL OR v_away_goal IS NULL THEN
   RAISE_APPLICATION_ERROR(-20002, 'Not finished');
END IF;
IF v_home_goal = v_away_goal THEN
   RETURN 1;
ELSIF (p_team_id = v_home_id AND v_home_goal &gt; v_away_goal) OR
   (p_team_id = v_away_id AND v_away_goal &gt; v_home_goal) THEN
      RETURN 3;
ELSE
   RETURN 0;
END;</t>
        </is>
      </c>
      <c r="C8" s="13" t="n">
        <v>2</v>
      </c>
      <c r="D8" s="13" t="n">
        <v>3</v>
      </c>
      <c r="E8" s="13" t="n">
        <v>1.5</v>
      </c>
      <c r="F8" s="13" t="n">
        <v>1.5</v>
      </c>
      <c r="G8" s="13" t="n">
        <v>3</v>
      </c>
      <c r="H8" s="14">
        <f>SUM(C8:G8)</f>
        <v/>
      </c>
      <c r="I8" s="15" t="inlineStr">
        <is>
          <t>Header correct. SELECT INTO correct. Team check uses = AND = instead of NOT IN — logic checks if team IS BOTH teams (wrong direction, should be neither). Missing END IF after first IF. NULL check present with correct logic. Win/draw/loss: excellent — handles home vs away correctly with OR pattern. Missing END IF for some blocks. Variable names inconsistent (v_home_goal vs v_home_goals).</t>
        </is>
      </c>
    </row>
    <row r="9" ht="200" customHeight="1">
      <c r="A9" s="2" t="inlineStr">
        <is>
          <t>Himanshu Ladole</t>
        </is>
      </c>
      <c r="B9" s="12" t="inlineStr">
        <is>
          <t>CREATE OR REPLACE FUNCTION get_team_points_for_match ( p_match_id IN NUMBER, p_team_id IN NUMBER )  RETUEN NUMBER IS
v_home_team_id NUMBER;
v_away_team_id NUMBER;
v_home_team_goal NUMBER;
v_away_team_goal NUMBER;
BEGIN
          BEGIN
                    SELECT home_team_id, away_team_id, home_team_goal, away_team_goal 
                    INTO v_home_team_id, v_away_team_id, v_home_team_goal, v_away_team_goal 
                    FROM MATCHES
                    WHERE match_id = p_match_id;
                    EXCEPTION
                      WHEN NO_DATA_FOUND THEN
                          RAISE_APPLICATION_ERROR(-20001, ' Match ID' || p_match_id || ' does not exist.');
         END;
         IF p_team_id != v_home_team_id  AND  p_team_id != v_away_team_id THEN
                          RAISE_APPLICATION_ERROR(-2000, ' Team ID' || p_team_id || ' does not particpate in this tournamnet.');
         END IF;
         IF v_home_team_goal IS NULL OR v_away_team_goal IS NULL THEN
                          RAISE_APPLICATION_ERROR(-20003, ' Match did not complete.');
         END IF;
         IF v_home_team_goal = v_away_team_goal THEN
             RETURN 1;
         ELSIF (p_team_id = v_home_team_id AND v_home_team_goal &gt; v_away_team_goal ) OR
                    (p_team_id = v_away_team_id AND v_away_team_goal &gt; v_home_team_goal ) THEN
              RETURN 3;
         ELSE
              RETURN 0;
         ENDIF;
END;</t>
        </is>
      </c>
      <c r="C9" s="13" t="n">
        <v>1.5</v>
      </c>
      <c r="D9" s="13" t="n">
        <v>3</v>
      </c>
      <c r="E9" s="13" t="n">
        <v>2</v>
      </c>
      <c r="F9" s="13" t="n">
        <v>2</v>
      </c>
      <c r="G9" s="13" t="n">
        <v>3</v>
      </c>
      <c r="H9" s="14">
        <f>SUM(C9:G9)</f>
        <v/>
      </c>
      <c r="I9" s="15" t="inlineStr">
        <is>
          <t>Header: RETUEN typo for RETURN, but otherwise correct. SELECT INTO: excellent with nested BEGIN/EXCEPTION for NO_DATA_FOUND. Team validation correct. NULL check correct. Win/draw/loss: excellent — handles home vs away with OR pattern. ENDIF missing space. Error -2000 for team check outside range.</t>
        </is>
      </c>
    </row>
    <row r="10" ht="200" customHeight="1">
      <c r="A10" s="2" t="inlineStr">
        <is>
          <t>Sydney Mendez</t>
        </is>
      </c>
      <c r="B10" s="12" t="inlineStr">
        <is>
          <t>CREATE OR REPLACE FUNCTION get_team_points_ for_match(
p_matxh_id IN NUMBER,
p_team_id IN NUMBER
) RETURN NUMBER IS 
v_row MATCHES%ROWTYPE;
BEGIN
SELECT * INTO v_row FROM MATCHES WHERE match_id = p_match_id;
IF p_team_id != v_row.home_team_id  AND p_team_id != v_row.away_team_id THEN
RAISE_APPLICATION_ERROR(-20001, 'Team not in match.');
END IF;
IF v_row.home_team_goal = v_row.away_team_goal THEN
RETURN 1;
ELSEIF (p_team_id = v_row.home_team_id AND v_row.home_team_goal &gt; v_row.away_team_goal) OR
(p_team_id = v_row.away_team_id AND v_row.away_team_goal &gt; v_row.home_team_goal) THEN
RETURN 3;
ELSE
RETURN 0;
END IF;
EXCEPTION
WHEN NO_DATA_FOUND THEN 
RAISE_APPLICATION_ERROR(-2003, 'match not found');
END get_team_points_for_match;
/</t>
        </is>
      </c>
      <c r="C10" s="13" t="n">
        <v>2</v>
      </c>
      <c r="D10" s="13" t="n">
        <v>2.5</v>
      </c>
      <c r="E10" s="13" t="n">
        <v>2</v>
      </c>
      <c r="F10" s="13" t="n">
        <v>1.5</v>
      </c>
      <c r="G10" s="13" t="n">
        <v>2.5</v>
      </c>
      <c r="H10" s="14">
        <f>SUM(C10:G10)</f>
        <v/>
      </c>
      <c r="I10" s="15" t="inlineStr">
        <is>
          <t>Header: space in function name "get_team_points_ for_match", matxh typo, but RETURN NUMBER correct. SELECT INTO: uses %ROWTYPE approach (correct). Team check correct. No NULL goal check explicitly but has it implicitly (incomplete). ELSEIF instead of ELSIF. Win/draw/loss handles home and away correctly. NO_DATA_FOUND in EXCEPTION block but error -2003 outside range.</t>
        </is>
      </c>
    </row>
    <row r="11" ht="200" customHeight="1">
      <c r="A11" s="2" t="inlineStr">
        <is>
          <t>Celest Moreira</t>
        </is>
      </c>
      <c r="B11" s="12" t="inlineStr">
        <is>
          <t>CREATE OR REPLACE FUNCTION get_team_points_for_match(
                 p_match_id NUMBER,
                 p_team_id NUMBER
) RETURN NUMBER
IS
                v_home_team_id MATCHES.home_team_id%TYPE;
                v_away_team_id MATCHES.away_team_id%TYPE;
                v_home_goals MATCHES .home_team_goal%TYPE;
                v_away_goals MATCHES.home_team_goal%TYPE;
BEGIN 
       SELECT home_team_id, away_team_id, home_team_goal, away_team_goal
       INTO v_home_team_id, v_away_team_id, v_home_goals, v_away_goals
FROM MATCHES 
WHERE match_id = p_match_id;
IF p_team_d != v_home_team_id AND p_team_id != v_away_team_id THEN 
RAISE_APPLICATION_ERROR (-2002, 'Team not part of this match');
END IF;
IF v_home_goals = v_away_goals  THEN 
           RETURN 1; 
ELSIF (p_team_id = v_home_team_id AND v_home_goals &gt; v_away_goals) OR  (p_team_id = v_away_team_id AND v_away_goals &gt; v_home_goals) THEN 
          RETURN 3;
ELSE 
          RETURN 0;
END IF; 
EXCEPTION 
         WHEN NO_DATA_FOUND THEN 
RAISE_APPLICATION_ERROR(-20001, 'Match does not exist');
END;
/</t>
        </is>
      </c>
      <c r="C11" s="13" t="n">
        <v>2</v>
      </c>
      <c r="D11" s="13" t="n">
        <v>3</v>
      </c>
      <c r="E11" s="13" t="n">
        <v>2</v>
      </c>
      <c r="F11" s="13" t="n">
        <v>1</v>
      </c>
      <c r="G11" s="13" t="n">
        <v>3</v>
      </c>
      <c r="H11" s="14">
        <f>SUM(C11:G11)</f>
        <v/>
      </c>
      <c r="I11" s="15" t="inlineStr">
        <is>
          <t>Header correct. SELECT INTO correct with %TYPE vars. Team check: "p_team_d" typo but logic correct. Error -2002 outside range. No explicit NULL check for goals. Win/draw/loss: excellent — handles home vs away. NO_DATA_FOUND exception handler.</t>
        </is>
      </c>
    </row>
    <row r="12" ht="200" customHeight="1">
      <c r="A12" s="2" t="inlineStr">
        <is>
          <t>Michael Nguyen</t>
        </is>
      </c>
      <c r="B12" s="12" t="inlineStr">
        <is>
          <t>create or replace function get_team_point_for_match (p_match_id number, p_team_id number)
return number as
v_home_id matches.home_team_id%TYPE;
v_away_id matches.away_team%TYPE;
v_home_goal matches.home_team_goal%TYPE;
v_away_goal Matches.away_team_goal%TYPE;
begin 
select home_team_id, away_team_id, home_team_goal, away_team_goal
into v_home_id, v_away_id, v_home_goal, v_away_goal
from matches
where matches_id = p_match_id
IF p_team_id =! v_home_id and p_team_id != v_away_id then
raise_application_error(-20001, 'invalid team');
end if ;
IF v_home_goal IS NULL OR v_away_goal IS NULL THEN
raise_application_error(-20002, 'Match not complete');
IF v_home_goal = v_away_goal THEN
return 1;
ELSIF p_team_id = v_home_id AND v_home_goal &gt; v_away_goal THEN
RETURN 3;
ELSIF p_team_id = v_away_id AND v_away_goal &gt; v_home_goal THEN
RETURN 0;
end if;
END;</t>
        </is>
      </c>
      <c r="C12" s="13" t="n">
        <v>2</v>
      </c>
      <c r="D12" s="13" t="n">
        <v>3</v>
      </c>
      <c r="E12" s="13" t="n">
        <v>2</v>
      </c>
      <c r="F12" s="13" t="n">
        <v>2</v>
      </c>
      <c r="G12" s="13" t="n">
        <v>2</v>
      </c>
      <c r="H12" s="14">
        <f>SUM(C12:G12)</f>
        <v/>
      </c>
      <c r="I12" s="15" t="inlineStr">
        <is>
          <t>Header: "get_team_point_for_match" (missing s). SELECT INTO correct. Team check: "=!" instead of "!=" but intent clear. NULL check present. Win/draw/loss: handles home correctly but away returns 0 instead of 3 for away win. Missing semicolons, missing END IFs.</t>
        </is>
      </c>
    </row>
    <row r="13" ht="200" customHeight="1">
      <c r="A13" s="2" t="inlineStr">
        <is>
          <t>Thuy Tien Nguyen</t>
        </is>
      </c>
      <c r="B13" s="12" t="inlineStr">
        <is>
          <t>CREATE OR REPLACE FUNCTION get_team_points_for_match(p_match_id,
                                                                                                         p_team_id) RETURN NUMBER AS
v_home_team_goal NUMBER;
v_away_team_goal NUMBER;
BEGIN
  SELECT ml.match_id, ml.team_id, m.home_team_id, m.away_team_id
  FROM match_lineup ml
  INNER JOIN matches m
  ON p_match_id = v_match;
   IF v_home_team_goal &gt; v_away_team_goal THEN
    DBMS_OUTPUT.PUT_LINE('Home win');
    RETURN 1;
    ELSIF v_home_team_goal = v_away_team_goal THEN
    DBMS_OUTPUT.PUT_LINE('Draw');
    RETURN 0;
    ELSE
    DBMS_OUTPUT.PUT_LINE('Away win');
    RETURN 3;
    END IF;
END;</t>
        </is>
      </c>
      <c r="C13" s="13" t="n">
        <v>1</v>
      </c>
      <c r="D13" s="13" t="n">
        <v>1</v>
      </c>
      <c r="E13" s="13" t="n">
        <v>0</v>
      </c>
      <c r="F13" s="13" t="n">
        <v>0</v>
      </c>
      <c r="G13" s="13" t="n">
        <v>1</v>
      </c>
      <c r="H13" s="14">
        <f>SUM(C13:G13)</f>
        <v/>
      </c>
      <c r="I13" s="15" t="inlineStr">
        <is>
          <t>Header: params missing datatypes, RETURN NUMBER present. SELECT: attempts JOIN but no INTO, wrong tables/logic. No team validation. No NULL check. Win/draw/loss attempted but returns wrong values (1 for win, 0 for draw, 3 for loss — reversed).</t>
        </is>
      </c>
    </row>
    <row r="14" ht="200" customHeight="1">
      <c r="A14" s="2" t="inlineStr">
        <is>
          <t>Reyna Singh</t>
        </is>
      </c>
      <c r="B14" s="12" t="inlineStr">
        <is>
          <t>CREATE OR REPLACE FUNCTION get_team_points_for_match (
p_match_id MATCHES.match_id%TYPE
p_team_id TEAM.team_id%TYPE 
) RETURN NUMBER AS
v_home_team_id MATCHES.home_team_id%TYPE;
v_away_team_id  MATCHES.away_team_id%TYPE;
v_home_goal MATCHES.home_team_goal%TYPE;
v_away_goal MATCHES.away_team_goal%TYPE;
BEGIN
SELECT home_team_id, away_team_id, home__team_goal, away_team_goal
INTO v_hometeam_id, v__away_team_id, v_home_goal, v_away_goal
FROM MATCHES
WHERE match_id = p_match_id;
IF p_team_id != v_home_team_id AND p_team_id != v_away_team_id THEN 
RAISE_APPLICATION_ERROR(-20001, 'Invalid team for this match');
IF v_home_goal IS NULL OR v_away_goal IS NULL THEN 
RAISE_APPLICATION_ERROR(-20002, 'Match not completed');
END IF;
IF v_home_goal = v_away_goal THEN
RETURN1;
ELSIF p_team_id = v_home_team_id AND v_home_goal &gt; v_away_goal THEN
RETURN 3;
ELSIF p_team__id = v_away_team_id AND v_away_goal &gt; v_home_goal THEN
RETURN 3;
ELSE
RETURN 0;
END IF;
EXCEPTION
WHEN NO_DATA_FOUND THEN 
RAISE_APPLICATION_ERROR(-20003, 'Match not found');
END;</t>
        </is>
      </c>
      <c r="C14" s="13" t="n">
        <v>2</v>
      </c>
      <c r="D14" s="13" t="n">
        <v>3</v>
      </c>
      <c r="E14" s="13" t="n">
        <v>2</v>
      </c>
      <c r="F14" s="13" t="n">
        <v>2</v>
      </c>
      <c r="G14" s="13" t="n">
        <v>3</v>
      </c>
      <c r="H14" s="14">
        <f>SUM(C14:G14)</f>
        <v/>
      </c>
      <c r="I14" s="15" t="inlineStr">
        <is>
          <t>Header correct with %TYPE. SELECT INTO correct. Team check correct but missing END IF. NULL check present. Win/draw/loss: handles both home and away correctly (returns 3 for both). RETURN1 missing space. NO_DATA_FOUND exception. Solid overall despite minor syntax.</t>
        </is>
      </c>
    </row>
    <row r="15" ht="200" customHeight="1">
      <c r="A15" s="2" t="inlineStr">
        <is>
          <t>Wayne Wilhelm</t>
        </is>
      </c>
      <c r="B15" s="12" t="inlineStr">
        <is>
          <t>IF p_match_id &gt;=03 THEN
DBMS_OUTPUT.PUT_LINE('Win');
ELSIF p_match_id&lt;=1 THEN
DBMS_OUTPUT.PUT_LINE('Draw')
ELSIF p_match_id&lt;=0 THEN
DBMS_OUTPUT.PUT_LINE('Loss')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4">
        <f>SUM(C15:G15)</f>
        <v/>
      </c>
      <c r="I15" s="15" t="inlineStr">
        <is>
          <t>No function header. Compares p_match_id to point values (&gt;=3 for win). Completely wrong concept — does not read from MATCHES at all.</t>
        </is>
      </c>
    </row>
    <row r="16" ht="200" customHeight="1">
      <c r="A16" s="2" t="inlineStr">
        <is>
          <t>Nicholas Nguyen</t>
        </is>
      </c>
      <c r="B16" s="12" t="inlineStr">
        <is>
          <t>CREATE OR REPLACE FUNCTION get_team_points (
p_match_id MATCHES.match_id%TYPE,
p_team_id 
) RETURN NUMBER IS
v_home_team_goal MATCHES.home_team_goal%TYPE;
v_away_team_goal MATCHES.away_team_goal%TYPE;
v_home_team_id MATCHES.home_team_id%TYPE;
v_away_team_id MATCHES.away_team_id%TYPE;
v_score NUMBER;
BEGIN
SELECT m.home_team_goal, m.away_team_goal, m.home_team_id, m.away_team_id
INTO v_home_team_goal, v_away_team_goal, v_home_team_id, v_away_team_id
FROM MATCHES m
WHERE m.match_id = p_match_id;
IF p_team_id = v_home_team_id OR p_team_id = v_away_team_id THEN
IF v_home_team_goal IS NOT NULL OR v_away_team_goal IS NOT NULL THEN
CASE score 
WHEN v_home_team_goal &gt; v_away_team_goal THEN RETURN 3
WHEN v_home_team_goal = v_away_team_goal THEN RETURN 1
WHEN v_home_team_goal &lt; v_away_team_goal THEN RETURN 0
END CASE;
ELSE
dbms_output.put_line('Error: Match is not completed.');
END IF;
ELSE
dbms_output.put_line('Error: p_team_id does not equal home_team_id or away_team_id'.);
END IF;
EXCEPTION
WHEN NO_DATA_FOUND THEN
dbms_output.put_line('Error: No data was found for ' || p_match_id);
END;</t>
        </is>
      </c>
      <c r="C16" s="13" t="n">
        <v>1.5</v>
      </c>
      <c r="D16" s="13" t="n">
        <v>3</v>
      </c>
      <c r="E16" s="13" t="n">
        <v>1</v>
      </c>
      <c r="F16" s="13" t="n">
        <v>1.5</v>
      </c>
      <c r="G16" s="13" t="n">
        <v>1.5</v>
      </c>
      <c r="H16" s="14">
        <f>SUM(C16:G16)</f>
        <v/>
      </c>
      <c r="I16" s="15" t="inlineStr">
        <is>
          <t>Header: "get_team_points" (shortened name), p_team_id missing datatype. SELECT INTO correct. Team check uses DBMS_OUTPUT instead of RAISE (1pt). NULL check: uses IS NOT NULL (inverted logic). Win/draw/loss: uses CASE but syntax errors, always from home perspective only. NO_DATA_FOUND handled. Good attempt overall.</t>
        </is>
      </c>
    </row>
    <row r="17" ht="200" customHeight="1">
      <c r="A17" s="2" t="inlineStr">
        <is>
          <t>Anthony Sierra</t>
        </is>
      </c>
      <c r="B17" s="12" t="inlineStr">
        <is>
          <t>CREAT OR REPLACE FUNCTION get_team_points_for_match ( 
   p_match_id IN NUMBER, 
   p_team_id IN NUMBER 
) RETURN NUMBER IS 
--- store varible--- 
r_match MATCHES%ROWTYPE; 
BEGIN 
   BEGIN 
   SELECT  * 
   INTO r_match   
   FROM MATCHES 
   WHERE match_id = p_match_id; 
--EXCEPTION-- 
EXCEPTION 
WHERE NO_DATA_FOND THEN 
    RAISE_APPLICATION_ERROR (-20001, 'match id doesnt exist.' ) : 
END IF; 
--Check if match is complete-- 
IF r_match.home_team_goal IS NULL OR r_match.away_team_goal IS NULL THEN 
    RAISE_APPLICATION_ERROR(-20003, 'The match is not complete.' ); 
END IF; 
---calculate points --- 
IF p_team_id = r_match.home_team id THEN 
  IF r_match.home_team_goal &gt; r_match.away_team_goal THEN 
   RETURN 3; --win 
ELSIF r_match.home_team_goal = r_match.away_team_goal THEN 
   RETURN 1; --draw 
ELSE 
   RETURN 0; --loss 
END IF; 
-- logic for the away team --- 
ELSE 
  IF r_match.away_team_goal &gt; r_match.home_team_goal THEN 
  RETURN 3; -- win 
ELSIF r_match.away_team_goal =  r_match.home_team_goal THEN 
RETURN  1; --draw 
ELSE 
  RETURN 0; --loss 
END IF; 
END IF; 
END get_team_points_from_match; 
/</t>
        </is>
      </c>
      <c r="C17" s="13" t="n">
        <v>2</v>
      </c>
      <c r="D17" s="13" t="n">
        <v>2.5</v>
      </c>
      <c r="E17" s="13" t="n">
        <v>0</v>
      </c>
      <c r="F17" s="13" t="n">
        <v>2</v>
      </c>
      <c r="G17" s="13" t="n">
        <v>3</v>
      </c>
      <c r="H17" s="14">
        <f>SUM(C17:G17)</f>
        <v/>
      </c>
      <c r="I17" s="15" t="inlineStr">
        <is>
          <t>Header: "CREAT" typo but otherwise correct. Uses %ROWTYPE (smart). SELECT INTO with nested BEGIN/EXCEPTION — excellent NO_DATA_FOUND handling. "WHERE NO_DATA_FOND" typo, "END IF" instead of END for nested block. No team validation check. NULL check correct. Win/draw/loss: excellent — fully handles home vs away. "home_team id" space typo.</t>
        </is>
      </c>
    </row>
    <row r="18" ht="200" customHeight="1">
      <c r="A18" s="2" t="inlineStr">
        <is>
          <t>Ken Tran</t>
        </is>
      </c>
      <c r="B18" s="12" t="inlineStr">
        <is>
          <t>CREATE OR REPLACE FUNCTION get_team_points_for_match (p_match_id IN NUMBER, p_team_id IN NUMBER) RETURN NUMBER AS 
v_match MATCHES%ROWTYPE
BEGIN 
SELECT(*) INTO v_match 
FROM MATCHES
WHERE match_id = p_match_id ;
        IF p_team_id != v_match.home_team_id AND p_team_id != v_match.away_team_id THEN
        RAISE APPLICATION_ERROR(-20001, 'Team did not play in this match.');
       END IF;
IF  v_match.home_team_goal IS NULL OR v_match.away_team_goal IS NULL THEN
 RAISE APPLICATION_ERROR(-20002, 'Match is not finished.');
 END IF;
IF v_match.home_team_goal = v_match.away_team_goal THEN 
RETURN 1;
ELSIF (p_team_id = v_match.home_team_id AND v_match.home_team_goal &gt; v_match.away_team_goal OR
          (p_team_id = v_match.away_team_id AND v_match.away_team_goal &gt; v_match.home_team_goal) THEN
RETURN 3;
ELSE
    RETURN 0;
END IF;
EXCEPTION
    WHEN NO_DATA_FOUND THEN
  RAISE APPLICATION_ERROR(-20003, 'Match does not exist.');
END;</t>
        </is>
      </c>
      <c r="C18" s="13" t="n">
        <v>2</v>
      </c>
      <c r="D18" s="13" t="n">
        <v>2.5</v>
      </c>
      <c r="E18" s="13" t="n">
        <v>2</v>
      </c>
      <c r="F18" s="13" t="n">
        <v>2</v>
      </c>
      <c r="G18" s="13" t="n">
        <v>2.5</v>
      </c>
      <c r="H18" s="14">
        <f>SUM(C18:G18)</f>
        <v/>
      </c>
      <c r="I18" s="15" t="inlineStr">
        <is>
          <t>Header correct. Uses %ROWTYPE. SELECT(*) wrong syntax but INTO correct. Team check correct. NULL check correct. Win/draw/loss: handles both perspectives with OR pattern. "RAISE APPLICATION_ERROR" missing underscore. NO_DATA_FOUND exception. Missing variable declaration semicolon.</t>
        </is>
      </c>
    </row>
    <row r="19" ht="200" customHeight="1">
      <c r="A19" s="2" t="inlineStr">
        <is>
          <t>Dan Brendza</t>
        </is>
      </c>
      <c r="B19" s="12" t="inlineStr">
        <is>
          <t>CREATE OR REPLACE FUNCTION get_team_points_for_match (p_match_id MATCHES.match_id%TYPE, p_team_id MATCHES.home_team_id%TYPE) RETURN NUMBER AS
DECLARE
   v_points NUMBER;
BEGIN
   SELECT</t>
        </is>
      </c>
      <c r="C19" s="13" t="n">
        <v>2</v>
      </c>
      <c r="D19" s="13" t="n">
        <v>0.5</v>
      </c>
      <c r="E19" s="13" t="n">
        <v>0</v>
      </c>
      <c r="F19" s="13" t="n">
        <v>0</v>
      </c>
      <c r="G19" s="13" t="n">
        <v>0</v>
      </c>
      <c r="H19" s="14">
        <f>SUM(C19:G19)</f>
        <v/>
      </c>
      <c r="I19" s="15" t="inlineStr">
        <is>
          <t>Header correct with %TYPE, RETURN NUMBER. Declares v_points but then cuts off at "SELECT" — barely started. No team check, no NULL check, no win/draw/loss.</t>
        </is>
      </c>
    </row>
    <row r="20" ht="200" customHeight="1">
      <c r="A20" s="2" t="inlineStr">
        <is>
          <t>Aiden Linderman</t>
        </is>
      </c>
      <c r="B20" s="12" t="inlineStr">
        <is>
          <t>CREATE OR REPLACE FUNCTION get_team_pounts_for_match(
     p_match_id  NUMBER,
     p_team_id   NUMBER,
) RETURN IS
BEGIN
    IF p_team_id &lt;= home_team id or away_team_id THEN
        RAISE  id_not_equal
   END IF;
   IF home_team_goal or away_team_null  := NULL THEN
        RAISE  goal_is_null
   END IF;
    IF home_team_goal &gt;= 3 THEN
       DBMS_OUPTUT.PUT_LINE (' Home team win');
    ELSE IF home_team_goal &lt;= 1 THEN
         DBMS_OUPTUT.PUT_LINE (' DRAW');
    ELSE IF home_team_goal := 0 THEN
        DBMS_OUPTUT.PUT_LINE (' Loss');
END IF;
END;</t>
        </is>
      </c>
      <c r="C20" s="13" t="n">
        <v>1</v>
      </c>
      <c r="D20" s="13" t="n">
        <v>0</v>
      </c>
      <c r="E20" s="13" t="n">
        <v>0</v>
      </c>
      <c r="F20" s="13" t="n">
        <v>0</v>
      </c>
      <c r="G20" s="13" t="n">
        <v>0</v>
      </c>
      <c r="H20" s="14">
        <f>SUM(C20:G20)</f>
        <v/>
      </c>
      <c r="I20" s="15" t="inlineStr">
        <is>
          <t>Header: "get_team_pounts" typo, RETURN IS (missing type). No SELECT INTO. Checks are garbled (home_team id, goal comparisons to 3 not to each other). Completely wrong win/draw/loss concept.</t>
        </is>
      </c>
    </row>
    <row r="21" ht="200" customHeight="1">
      <c r="A21" s="2" t="inlineStr">
        <is>
          <t>Kyle Duong</t>
        </is>
      </c>
      <c r="B21" s="12" t="inlineStr">
        <is>
          <t>CREATE OR REPLACE FUNCTION get_team_points_for_match RETURN NUMBER IS
DECLARE
v_home NUMBER := 2;
v_away NUMBER :=2;
BEGIN
SELECT p_match_id, p_team_id INTO v_team_points
FROM MATCHES
IF
v_home &gt; v_away THEN
RETURN 3;
ELSIF v_home = v_away THEN
RETURN 1;
ELSE v_home &lt; v_away THEN
RETURN 0;
END IF;
EXCEPTION
WHEN NO_DATA_FOUND THEN
dbms_output.put_line('Not Found');
ELSIF p_team_id := home_team_id, away_team_id THEN
dbms_output.put_line('Not Found');
ELSIF home_team_goal, away_team_goal = NULL THEN
dbms_output.put_line('Not Found');
END;</t>
        </is>
      </c>
      <c r="C21" s="13" t="n">
        <v>1</v>
      </c>
      <c r="D21" s="13" t="n">
        <v>1</v>
      </c>
      <c r="E21" s="13" t="n">
        <v>0</v>
      </c>
      <c r="F21" s="13" t="n">
        <v>0.5</v>
      </c>
      <c r="G21" s="13" t="n">
        <v>1</v>
      </c>
      <c r="H21" s="14">
        <f>SUM(C21:G21)</f>
        <v/>
      </c>
      <c r="I21" s="15" t="inlineStr">
        <is>
          <t>Header: missing params in parens, RETURN NUMBER present. SELECT: attempts select but wrong (selects p_match_id, p_team_id instead of columns). Team/NULL checks attempted after EXCEPTION but garbled. Returns 3/1/0 but logic wrong (hardcoded v_home=2, v_away=2). NO_DATA_FOUND handler present.</t>
        </is>
      </c>
    </row>
    <row r="22" ht="200" customHeight="1">
      <c r="A22" s="2" t="inlineStr">
        <is>
          <t>Nathan Jalandoni</t>
        </is>
      </c>
      <c r="B22" s="12" t="inlineStr">
        <is>
          <t>CREATE OR REPLACE FUNCTION get_team_points_for_match(
     p_match_id NUMBER,
     p_team_id NUMBER
) RETURN NUMBER
IS
     v_home NUMBER;
     v_away NUMBER;
     g_home NUMBER;
     g_away NUMBER;
BEGIN
     SELECT home_team_id, away_team_id, home_team_goal, away_team_goal
     INTO v_home, v_away, g_home, g_away
     FROM MATCHES
     WHERE match_id = p_match_id;
IF p_team_id NOT IN (v_home, v_away) THEN
     RAISE_APPLICATION_ERROR(-20001, 'Team not in match');
END IF;
IF g_home IS NULL OR g_away IS NULL then
     RAISE_APPLICATION_ERROR(-20002, 'Match not finished');
END IF;
IF g_home = g_away THEN
     RETURN 1;
ELSIF (p_team_id = v_home AND g_home &gt; g_away) OR
           (p_team_id = v_away AND g_away &gt; g_home) THEN
     RETURN 3;
ELSE
     RETURN 0;
END IF;
EXCEPTION
     WHEN NO_DATA_FOUND THEN
          RAISE_APPLICATION_ERROR(-20003, 'Match not found');
END;
/</t>
        </is>
      </c>
      <c r="C22" s="13" t="n">
        <v>2</v>
      </c>
      <c r="D22" s="13" t="n">
        <v>3</v>
      </c>
      <c r="E22" s="13" t="n">
        <v>2</v>
      </c>
      <c r="F22" s="13" t="n">
        <v>2</v>
      </c>
      <c r="G22" s="13" t="n">
        <v>3</v>
      </c>
      <c r="H22" s="14">
        <f>SUM(C22:G22)</f>
        <v/>
      </c>
      <c r="I22" s="15" t="inlineStr">
        <is>
          <t>Header correct. SELECT INTO correct. Team check: uses NOT IN (excellent). NULL check correct. Win/draw/loss: handles both perspectives with OR pattern. NO_DATA_FOUND exception. Near-perfect answer.</t>
        </is>
      </c>
    </row>
    <row r="23" ht="200" customHeight="1">
      <c r="A23" s="2" t="inlineStr">
        <is>
          <t>Maria Visoso</t>
        </is>
      </c>
      <c r="B23" s="12" t="inlineStr">
        <is>
          <t>CREATE OR REPLACE  FUNCTION get_team_points_for_match (p_match_id, p_team_id) 
RETURN NUMBER AS 
DECLARE 
var_win = 3
var_loss = 0
var_draw = 1
BEGIN
IF p_team_id =/ home_team_id THEN
RAISE_APPLICATION_ERROR  = 'Data Not Equal'; 
IF SQL%NOT FOUND THEN 
Return FALSE 
DBMS_OUTPUT.PUT_LINE ('There is no completion of data'); 
END IF; 
DBMS_OUTPUT.PUT__LINE(There are '||sql%rowcount||'Record)
END;
/</t>
        </is>
      </c>
      <c r="C23" s="13" t="n">
        <v>1</v>
      </c>
      <c r="D23" s="13" t="n">
        <v>0</v>
      </c>
      <c r="E23" s="13" t="n">
        <v>0.5</v>
      </c>
      <c r="F23" s="13" t="n">
        <v>0</v>
      </c>
      <c r="G23" s="13" t="n">
        <v>0</v>
      </c>
      <c r="H23" s="14">
        <f>SUM(C23:G23)</f>
        <v/>
      </c>
      <c r="I23" s="15" t="inlineStr">
        <is>
          <t>Header: FUNCTION correct, RETURN NUMBER, but params without datatypes. DECLARE with vars. Checks p_team_id =/ home_team_id — partially correct team check concept. No SELECT INTO, no NULL check, no win/draw/loss return values.</t>
        </is>
      </c>
    </row>
    <row r="24" ht="200" customHeight="1">
      <c r="A24" s="2" t="inlineStr">
        <is>
          <t>Angelina Nguyen</t>
        </is>
      </c>
      <c r="B24" s="12" t="inlineStr">
        <is>
          <t>CREATE OR REPLACE FUNCTION get_team_points_for_match
(p_match_id MATCHES.match_id%TYPE , p_team_id MATCHES.team_id%TYPE) AS
v_count NUMBER;
BEGIN
SELECT COUNT(*) INTO v_count
FROM MATCHES
WHERE p_match_id = match_id AND p_team_id = home_team_id OR away_team_id;
IF home_team_goal OR away_team_goal = 3 THEN
dbms_output.put_line('Team ' | p_team_id | ' wins!' );
ELSIF home_team_goal OR away_team_goal = 1 THEN
dbms_output.put_line('Team ' | p_team_id | ' ended on a draw!' );
ELSE home_team_goal OR away_team_goal = 0 THEN
dbms_output.put_line('Team ' | p_team_id | ' lost!' );
END IF;
IF v_count = 0 THEN
RAISE_APPLICATION_ERROR(-20001, 'NO MATCH FOR TEAM_ID, REJECT THE CALL');
IF p_match_id == match_id THEN
RAISE_APPLICATION_ERROR(-20001, 'MATCH NOT VALID, REJECT THE CALL');
END IF;
END;</t>
        </is>
      </c>
      <c r="C24" s="13" t="n">
        <v>1</v>
      </c>
      <c r="D24" s="13" t="n">
        <v>1</v>
      </c>
      <c r="E24" s="13" t="n">
        <v>0.5</v>
      </c>
      <c r="F24" s="13" t="n">
        <v>0</v>
      </c>
      <c r="G24" s="13" t="n">
        <v>0</v>
      </c>
      <c r="H24" s="14">
        <f>SUM(C24:G24)</f>
        <v/>
      </c>
      <c r="I24" s="15" t="inlineStr">
        <is>
          <t>Header: missing RETURN type. SELECT COUNT INTO — wrong approach. Team check: partially attempted but wrong logic. No NULL check. Win/draw/loss: compares goals to 3/1/0 (wrong concept — should compare goals to each other). Uses DBMS_OUTPUT not RETURN.</t>
        </is>
      </c>
    </row>
    <row r="25" ht="200" customHeight="1">
      <c r="A25" s="2" t="inlineStr">
        <is>
          <t>Daniela Bribiesca</t>
        </is>
      </c>
      <c r="B25" s="12" t="inlineStr">
        <is>
          <t>create or replace function get_team_points_for_match(
p_match_id Number,
p_team_id)
Return Varchar2 As
Begin 
Return Case
When p_match_id = 3 then 'Win'
When p_match_id = 1 the ' draw'
When p_match_id = 0 then 'loss'
else 'Sorry there was no match'
End;
End;
/</t>
        </is>
      </c>
      <c r="C25" s="13" t="n">
        <v>1</v>
      </c>
      <c r="D25" s="13" t="n">
        <v>0</v>
      </c>
      <c r="E25" s="13" t="n">
        <v>0</v>
      </c>
      <c r="F25" s="13" t="n">
        <v>0</v>
      </c>
      <c r="G25" s="13" t="n">
        <v>0</v>
      </c>
      <c r="H25" s="14">
        <f>SUM(C25:G25)</f>
        <v/>
      </c>
      <c r="I25" s="15" t="inlineStr">
        <is>
          <t>Header: FUNCTION present, p_team_id missing datatype, RETURN VARCHAR2 (wrong — should be NUMBER). Uses CASE but compares p_match_id to 3/1/0 (completely wrong concept). No SELECT, no validation.</t>
        </is>
      </c>
    </row>
    <row r="26" ht="200" customHeight="1">
      <c r="A26" s="2" t="inlineStr">
        <is>
          <t>Isaiah Sage Auste</t>
        </is>
      </c>
      <c r="B26" s="12" t="inlineStr">
        <is>
          <t>CREATE or REPLACE FUNCTION get_team_points_for_match
(p_match_id NUMBER, p_team_id NUMBER)
RETURN NUMBER IS
v_home_team_id NUMBER; v_away_team_id NUMBER; v_home_goals NUMBER; v_away_goals NUMBER;
BEGIN
SELECT home_team_id, away_team_id, home_team_goal, away_team_goal
INTO v_home_team_id,  v_away_team_id, v_home_goals, v_away_goals
FROM MATCHES
WHERE match_id = p_match_id
IF v_home_team_goal = v_away_team_goal THEN
RETURN 1
ELSIF (p_team_id = v_home_team_id AND v_home_team_goal &gt; v_away_team_goal) OR (p_team_id = v_away_team_id AND v_home_team_goal &lt; v_away_team_goal)
RETURN 3;
ELSE
RETURN 0;
END IF;
IF p_team_id != v_home_team_id AND p_team_id != v_away_team_id THEN
RAISE_APPLICATION_ERROR(-20001, 'Rejected');
END IF ;
IF v_home_team_goal IS NULL or v_away_team_goal IS NULL THEN
RAISE_APPLICATION_ERROR(-20001, 'Rejected');
END IF ;
END;
/</t>
        </is>
      </c>
      <c r="C26" s="13" t="n">
        <v>2</v>
      </c>
      <c r="D26" s="13" t="n">
        <v>3</v>
      </c>
      <c r="E26" s="13" t="n">
        <v>2</v>
      </c>
      <c r="F26" s="13" t="n">
        <v>1.5</v>
      </c>
      <c r="G26" s="13" t="n">
        <v>2.5</v>
      </c>
      <c r="H26" s="14">
        <f>SUM(C26:G26)</f>
        <v/>
      </c>
      <c r="I26" s="15" t="inlineStr">
        <is>
          <t>Header correct. SELECT INTO correct. Win/draw/loss logic is BEFORE validations (validation placed after RETURN — would never execute). Team check and NULL check present but placed after returns. Uses v_home_team_goal/v_away_team_goal inconsistently with v_home_goals/v_away_goals. Handles both perspectives correctly in logic.</t>
        </is>
      </c>
    </row>
    <row r="27" ht="200" customHeight="1">
      <c r="A27" s="2" t="inlineStr">
        <is>
          <t>Nioni England</t>
        </is>
      </c>
      <c r="B27" s="12" t="inlineStr">
        <is>
          <t>CREATE OR REPLACE FUNCTION get_team_points_for_match (p_match_id IN NUMBER, p_team_id IN NUMBER) RETURN NUMBER AS
    v_win :=3 ;
    v_draw :=1;
    v_loss :=0;
   v_outcome NUMBER;
BEGIN
    IF home_team_goal &gt; away_team_goal THEN
      v_outcome := v_win
    ELSEIF home_team_goal &lt; away_team_goal THEN
     away_team_goal :=v_win
   ELSEIF home_team_goal = away_team_goal THEN</t>
        </is>
      </c>
      <c r="C27" s="13" t="n">
        <v>1.5</v>
      </c>
      <c r="D27" s="13" t="n">
        <v>0</v>
      </c>
      <c r="E27" s="13" t="n">
        <v>0</v>
      </c>
      <c r="F27" s="13" t="n">
        <v>0</v>
      </c>
      <c r="G27" s="13" t="n">
        <v>0.5</v>
      </c>
      <c r="H27" s="14">
        <f>SUM(C27:G27)</f>
        <v/>
      </c>
      <c r="I27" s="15" t="inlineStr">
        <is>
          <t>Header: correct params and RETURN NUMBER. Variables declared. No SELECT INTO. No validation. Win/draw/loss attempted but uses ELSEIF (wrong), incomplete (cuts off). No RETURN statements.</t>
        </is>
      </c>
    </row>
    <row r="28" ht="200" customHeight="1">
      <c r="A28" s="2" t="inlineStr">
        <is>
          <t>Vanessa Nguyen</t>
        </is>
      </c>
      <c r="B28" s="12" t="inlineStr">
        <is>
          <t>CREATE OR REPLACE FUNCTION get_team_points_for_match (
    p_match NUMBER, p_team_id NUMBER)
    RETURN NUMBER AS
       v_result NUMBER;
    v_match_id NUMBER;
    v_team_id NUMBER;
BEGIN
   SELECT match_id, team_id INTO v_match_id, v_team_id
   FROM MATCHES m
   JOIN MATCH_LINEUP ml ON m.match_id = ml.match_id
   JOIN TEAM t ON ml.team_id = t.team_id;
   IF p_match_id != v_match_id THEN
      RAISE_APPLICATION_ERROR(-20001, 'No match ID found');
   END IF;
   IF home_team_goal = NULL THEN
      RAISE_APPLICATION_ERROR(-20001, 'Home Team Goal has no value');
   ELSIF away_team_goal
      RAISE_APPLICATION_ERROR(-20001, 'Away Team Goal has no value');
   END IF;
   IF home_team_goal &gt; away_team_goal THEN 
      v_result := 3
   IF home_team_goal = away_team_goal THEN
     v_result := 1
    IF home_team_goal &lt; away_team_goal THEN
       v_result := 0
RETURN v_result;
END;
/</t>
        </is>
      </c>
      <c r="C28" s="13" t="n">
        <v>2</v>
      </c>
      <c r="D28" s="13" t="n">
        <v>1.5</v>
      </c>
      <c r="E28" s="13" t="n">
        <v>1</v>
      </c>
      <c r="F28" s="13" t="n">
        <v>1</v>
      </c>
      <c r="G28" s="13" t="n">
        <v>1</v>
      </c>
      <c r="H28" s="14">
        <f>SUM(C28:G28)</f>
        <v/>
      </c>
      <c r="I28" s="15" t="inlineStr">
        <is>
          <t>Header: p_match missing "_id". RETURN NUMBER. SELECT INTO attempts but uses JOIN (unnecessary), no WHERE clause tying to p_match_id properly. Team check: compares match_id not team_id. NULL check: uses "= NULL" instead of "IS NULL", incomplete. Win/draw/loss: always from home perspective only, uses v_result assignment but only IF not ELSIF.</t>
        </is>
      </c>
    </row>
    <row r="29" ht="200" customHeight="1">
      <c r="A29" s="2" t="inlineStr">
        <is>
          <t>Carlos Caro</t>
        </is>
      </c>
      <c r="B29" s="12" t="inlineStr">
        <is>
          <t>CREATE FUNCTION get_team_points_for_match (
        p_match_id, p_team_id IN match.col%TYPE
    ) RETURN NUMBER AS 
       v_result NUMBER; 
BEGIN IF p_match_id &gt; 3
         THEN DBMS_OUTPUT.PUT_LINE('win');
              ELSIF p_match_id = 1 THEN DBMS_OUTPUT.PUT_LINE('Draw');
              ELSE p_match_id = 0 THEN DBMS_OUTPUT.PUT_LINE('loss');
END IF;
END;</t>
        </is>
      </c>
      <c r="C29" s="13" t="n">
        <v>0.5</v>
      </c>
      <c r="D29" s="13" t="n">
        <v>0</v>
      </c>
      <c r="E29" s="13" t="n">
        <v>0</v>
      </c>
      <c r="F29" s="13" t="n">
        <v>0</v>
      </c>
      <c r="G29" s="13" t="n">
        <v>0</v>
      </c>
      <c r="H29" s="14">
        <f>SUM(C29:G29)</f>
        <v/>
      </c>
      <c r="I29" s="15" t="inlineStr">
        <is>
          <t>Header: CREATE FUNCTION, RETURN NUMBER, but params wrong. Compares p_match_id to 3 (wrong concept like Wilhelm). No SELECT, no real logic.</t>
        </is>
      </c>
    </row>
    <row r="30" ht="200" customHeight="1">
      <c r="A30" s="2" t="inlineStr">
        <is>
          <t>Ian Kim</t>
        </is>
      </c>
      <c r="B30" s="12" t="inlineStr">
        <is>
          <t>CREATE PROCEDURE get_team_points_for_match(
p_match_id.snum%TYPE,
p_team_id.snum%TYPE
v_count MATCHES;
BEGIN 
SELECT COUNT(*) INTO v_count FROM Matches
WHERE snum=p_snum AND matchnum= p_team_id;
IF v_count = 0 THEN
      RAISE_APPLICATION_ERROR
                'Match not played' || p_team_id;
END; /
-- FUNCTION 
CREATE OR REPLACE FUNCTION get_match_points (p_match_id)
RETURN VARCHAR2 AS 
BEGIN
         RETURN CASE
         WHEN home_team_goal&gt; away_team_goal THEN 'home team 3 pts'
         WHEN away_team_goal&gt; home_team_goal THEN 'away team 3 pts'
         WHEN home_team_goal&lt;away_team_goal THEN 'home team 0 pts'
         WHEN away_team_goal&lt;home_team_goal THEN 'away team 0 pts'
         WHEN home_team_goal=away_team_goal THEN 'home team 1 pts'
         WHEN home_team_goal=away_team_goal THEN 'away team 1 pts'
        ELSEIF REJECT NULL = "Match incompleted
END; /</t>
        </is>
      </c>
      <c r="C30" s="13" t="n">
        <v>1</v>
      </c>
      <c r="D30" s="13" t="n">
        <v>0</v>
      </c>
      <c r="E30" s="13" t="n">
        <v>0.5</v>
      </c>
      <c r="F30" s="13" t="n">
        <v>0.5</v>
      </c>
      <c r="G30" s="13" t="n">
        <v>1</v>
      </c>
      <c r="H30" s="14">
        <f>SUM(C30:G30)</f>
        <v/>
      </c>
      <c r="I30" s="15" t="inlineStr">
        <is>
          <t>Header: CREATE PROCEDURE (not FUNCTION), params use wrong references. Two attempts: first as procedure with COUNT validation, second as FUNCTION with CASE — better. CASE handles win/draw correctly but redundant conditions. NULL rejection attempted but garbled. No proper SELECT INTO.</t>
        </is>
      </c>
    </row>
    <row r="31" ht="200" customHeight="1">
      <c r="A31" s="2" t="inlineStr">
        <is>
          <t>Taylor Lewis</t>
        </is>
      </c>
      <c r="B31" s="12" t="inlineStr"/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4">
        <f>SUM(C31:G31)</f>
        <v/>
      </c>
      <c r="I31" s="15" t="inlineStr">
        <is>
          <t>Empty submission.</t>
        </is>
      </c>
    </row>
    <row r="32" ht="200" customHeight="1">
      <c r="A32" s="2" t="inlineStr">
        <is>
          <t>Ronald Portillo Quinteros</t>
        </is>
      </c>
      <c r="B32" s="12" t="inlineStr">
        <is>
          <t>CREATE OR REPLACE FUNTION get_team_points_match(p_match_id,p_team_id NUMBER)
RETURN VARCHAR 2 AS
BEGIN
IF p_match_id IS NULL THEN
RETURN 'Reject the call';
ELSIF p_team_id =&lt;not equal&gt; home_team_id OR away_team_id THEN
RETURN 'Reject the call';
ELSIF home_team_goal OR away_team_goal = NULL THEN
RETURN ' reject call because match is nor completet';
ELSE 
RETURN '3' FOR W, '1' FOR D, '0' FOR 'L'
END IF;
END;</t>
        </is>
      </c>
      <c r="C32" s="13" t="n">
        <v>0.5</v>
      </c>
      <c r="D32" s="13" t="n">
        <v>0</v>
      </c>
      <c r="E32" s="13" t="n">
        <v>0.5</v>
      </c>
      <c r="F32" s="13" t="n">
        <v>0.5</v>
      </c>
      <c r="G32" s="13" t="n">
        <v>0</v>
      </c>
      <c r="H32" s="14">
        <f>SUM(C32:G32)</f>
        <v/>
      </c>
      <c r="I32" s="15" t="inlineStr">
        <is>
          <t>Header: "FUNTION" typo, RETURN VARCHAR2 (wrong type). No SELECT INTO. NULL check attempted but garbled. Team check attempted. Win/draw/loss: just returns string literals, not numbers.</t>
        </is>
      </c>
    </row>
    <row r="33" ht="200" customHeight="1">
      <c r="A33" s="2" t="inlineStr">
        <is>
          <t>Luis Ibarra</t>
        </is>
      </c>
      <c r="B33" s="12" t="inlineStr">
        <is>
          <t>CREATE OR REPLACE FUNCTION get_team_points_for_match
(p_match_id NUMBER, p_team_id NUMBER)
RETURN NUMBER
IS
  v_match_results NUMBER
  v_home_matches
  v_away_matches
BEGIN
  IF v_home_matches &gt; 3 THEN
  dbms_ouput.put_line (v_match_results || 'Home team wins')
  ELSE 
  IF v_away_matches &gt; 3 THEN
  dbms_ouput.put_line (v_match_results || 'Away team wins')
  ELSE
  dbms_ouput.put_line (v_match_results || 'Game Draw')
  END IF;
RETURN v_match_results
END;
/</t>
        </is>
      </c>
      <c r="C33" s="13" t="n">
        <v>2</v>
      </c>
      <c r="D33" s="13" t="n">
        <v>0</v>
      </c>
      <c r="E33" s="13" t="n">
        <v>0</v>
      </c>
      <c r="F33" s="13" t="n">
        <v>0</v>
      </c>
      <c r="G33" s="13" t="n">
        <v>0.5</v>
      </c>
      <c r="H33" s="14">
        <f>SUM(C33:G33)</f>
        <v/>
      </c>
      <c r="I33" s="15" t="inlineStr">
        <is>
          <t>Header: FUNCTION correct, RETURN NUMBER. No SELECT INTO — variables declared but never populated. Win/draw/loss: compares v_home_matches &gt; 3 (wrong concept — should compare goals). Returns v_match_results but never assigned properly.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8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  <col width="30" customWidth="1" min="9" max="9"/>
  </cols>
  <sheetData>
    <row r="1">
      <c r="A1" s="11" t="inlineStr">
        <is>
          <t>Q13_add_player_rating — 16 points total</t>
        </is>
      </c>
    </row>
    <row r="2">
      <c r="A2" s="1" t="inlineStr">
        <is>
          <t>Student Name</t>
        </is>
      </c>
      <c r="B2" s="1" t="inlineStr">
        <is>
          <t>Response</t>
        </is>
      </c>
      <c r="C2" s="1" t="inlineStr">
        <is>
          <t>A. Procedure header (3 pts)</t>
        </is>
      </c>
      <c r="D2" s="1" t="inlineStr">
        <is>
          <t>B. INSERT statement (5 pts)</t>
        </is>
      </c>
      <c r="E2" s="1" t="inlineStr">
        <is>
          <t>C. Cursor declaration (3 pts)</t>
        </is>
      </c>
      <c r="F2" s="1" t="inlineStr">
        <is>
          <t>D. Cursor loop/fetch (3 pts)</t>
        </is>
      </c>
      <c r="G2" s="1" t="inlineStr">
        <is>
          <t>E. DBMS_OUTPUT (2 pts)</t>
        </is>
      </c>
      <c r="H2" s="1" t="inlineStr">
        <is>
          <t>Total</t>
        </is>
      </c>
      <c r="I2" s="1" t="inlineStr">
        <is>
          <t>Notes</t>
        </is>
      </c>
    </row>
    <row r="3" ht="200" customHeight="1">
      <c r="A3" s="2" t="inlineStr">
        <is>
          <t>Melaud Shalikar</t>
        </is>
      </c>
      <c r="B3" s="12" t="inlineStr">
        <is>
          <t>CREATE OR REPLACE PROCEDURE add_playerr_rating(
    p_player_id NUMBER,
    p_attribute_date DATE,
    p_overall_rating NUMBER
)
IS
CURSOR c_ratings IS
SELECT attributes_date, overall_rating
FROM PLAYER_ATTRIBUTE_HISTORY
WHERE player_id = p_player_id
ORDER BY attribute_date DESC;
BEGIN
     INSERT INTO PLAYER_ATTRIBUTE_HISTORY(
        player_id,
        attribute_date,
        overall_rating
     )
     VALUES(
         p_player_id,
         p_attribute_date,
         p_overall_rating
     );
     FOR rec IN c_ratings LOOP
         DBMS_OUTPUT.PUT_LINE(rec.attribute_date || '' || rec.overall_rating);
     END LOOP;
END;
/</t>
        </is>
      </c>
      <c r="C3" s="13" t="n">
        <v>2</v>
      </c>
      <c r="D3" s="13" t="n">
        <v>5</v>
      </c>
      <c r="E3" s="13" t="n">
        <v>2.5</v>
      </c>
      <c r="F3" s="13" t="n">
        <v>3</v>
      </c>
      <c r="G3" s="13" t="n">
        <v>2</v>
      </c>
      <c r="H3" s="14">
        <f>SUM(C3:G3)</f>
        <v/>
      </c>
      <c r="I3" s="15" t="inlineStr">
        <is>
          <t>Header: typo "add_playerr_rating", only 3 params (missing potential, preferred_foot, player_attr_id) but minimum met. INSERT: correct 3-col insert. Cursor: has WHERE and ORDER BY DESC but "attributes_date" typo in SELECT (should be attribute_date). Loop: FOR rec IN c_ratings correct. Output: PUT_LINE with both fields.</t>
        </is>
      </c>
    </row>
    <row r="4" ht="200" customHeight="1">
      <c r="A4" s="2" t="inlineStr">
        <is>
          <t>Alyssa Kathryn Espino</t>
        </is>
      </c>
      <c r="B4" s="12" t="inlineStr">
        <is>
          <t>CREATE OR REPLACE PROCEDURE add_player_rating (p__player_id NUMBER, p_attribute__date DATE, p__overall_rating NUMBER) 
IS BEGIN
INSERT INTO PLAYER_ATTRIBUTE_HISTORY (player_id, attribute_date, overall__rating)
VALUES (p_player_id, p_attribute_date, p_overall_rating);
FOR rec IN (SELECT attribute_date, overall_rating FROM PLAYER_ATTRIBUTE _HISTORY
WHERE player_id = p_player_id 
ORDER BY attribute_date DESC)
LOOP 
       dmbs_output.put_line (rec.attribute_date || ' ' || rec.overall__rating); 
END LOOP;
END add_player_rating;</t>
        </is>
      </c>
      <c r="C4" s="13" t="n">
        <v>2</v>
      </c>
      <c r="D4" s="13" t="n">
        <v>4</v>
      </c>
      <c r="E4" s="13" t="n">
        <v>3</v>
      </c>
      <c r="F4" s="13" t="n">
        <v>3</v>
      </c>
      <c r="G4" s="13" t="n">
        <v>1</v>
      </c>
      <c r="H4" s="14">
        <f>SUM(C4:G4)</f>
        <v/>
      </c>
      <c r="I4" s="15" t="inlineStr">
        <is>
          <t>Header: 3 params with double underscores (typos). INSERT correct but "overall__rating" typo. Cursor: implicit FOR LOOP with WHERE and ORDER BY DESC — correct. Loop: correct FOR rec pattern. Output: "dmbs_output.put_line" misspelling, and "overall__rating" typo, but intent clear.</t>
        </is>
      </c>
    </row>
    <row r="5" ht="200" customHeight="1">
      <c r="A5" s="2" t="inlineStr">
        <is>
          <t>Alexis Garcia</t>
        </is>
      </c>
      <c r="B5" s="12" t="inlineStr">
        <is>
          <t>CREATE OR REPLACE PROCEDURE add_player_rating
CURSOR c_ratings (p_pid NUMBER) IS
SELECT attribute_date, overall_rating
FROM PLAYER_ATTRIBUTE_HISTORY
WHERE player_id = p_pid
ORDER BY attribute_date DESC;</t>
        </is>
      </c>
      <c r="C5" s="13" t="n">
        <v>0</v>
      </c>
      <c r="D5" s="13" t="n">
        <v>0</v>
      </c>
      <c r="E5" s="13" t="n">
        <v>2</v>
      </c>
      <c r="F5" s="13" t="n">
        <v>0</v>
      </c>
      <c r="G5" s="13" t="n">
        <v>0</v>
      </c>
      <c r="H5" s="14">
        <f>SUM(C5:G5)</f>
        <v/>
      </c>
      <c r="I5" s="15" t="inlineStr">
        <is>
          <t>No proper procedure header (no params in parens, no IS/BEGIN). No INSERT. Cursor declaration is actually correct (parameterized, correct table, WHERE, ORDER BY DESC). But no loop, no output.</t>
        </is>
      </c>
    </row>
    <row r="6" ht="200" customHeight="1">
      <c r="A6" s="2" t="inlineStr">
        <is>
          <t>Taylor Gensler</t>
        </is>
      </c>
      <c r="B6" s="12" t="inlineStr">
        <is>
          <t>CREATE OR REPLACE PROCEDURE add_player_rating
p_player_id NUMBER
p_attribute_date DATE
p_overall_rating NUMBER
)
IS
CURSOR c_rating_history IS
SELECT attribute_date, over_rating 
FROM PLAYER_ATTRIVUTE_HISTORY(
player_ID, attribute_date, overall_raating
)
VALUES(
p_player_id, p_attribute_date, p_overall_rating); 
FOR rec IN c_rating_history LOOP 
DBMS_OUTPUT_LINE ('Date' || TO_CHAR (rec.attrivute_date 'date' || ' |Overall Rating ' || rec.overall_rating); 
END LOOP; 
END; 
/</t>
        </is>
      </c>
      <c r="C6" s="13" t="n">
        <v>1</v>
      </c>
      <c r="D6" s="13" t="n">
        <v>0</v>
      </c>
      <c r="E6" s="13" t="n">
        <v>1</v>
      </c>
      <c r="F6" s="13" t="n">
        <v>1</v>
      </c>
      <c r="G6" s="13" t="n">
        <v>0.5</v>
      </c>
      <c r="H6" s="14">
        <f>SUM(C6:G6)</f>
        <v/>
      </c>
      <c r="I6" s="15" t="inlineStr">
        <is>
          <t>Header has procedure name and 3 params but missing opening paren. No INSERT statement (jumps to cursor). Cursor attempted but SELECT columns garbled, FROM has wrong table syntax. Loop: FOR rec pattern present. Output: DBMS_OUTPUT_LINE (wrong name) but intent visible.</t>
        </is>
      </c>
    </row>
    <row r="7" ht="200" customHeight="1">
      <c r="A7" s="2" t="inlineStr">
        <is>
          <t>Joey Ha</t>
        </is>
      </c>
      <c r="B7" s="12" t="inlineStr">
        <is>
          <t>PROCEDURE add_player_rating (
p_overall_rating NUMBER) AS
v_overall_rating player_attribute_history.overall_rating%TYPE;
BEGIN
INSERT INTO player_attribute_history (overall_rating)
VALUES (p_overall_rating, NUMBER)
CURSOR c_player IS
 SELECT DISTINCT player_id FROM player_attribute_history;
BEGIN open c_player;
loop
UPDATE player_attribute_history SET overall_rating WHERE c_player_id;
DBMS_OUTPUT.PUT_LINE('Player' || c_player_id || 'Rating" || c_overall_rating )</t>
        </is>
      </c>
      <c r="C7" s="13" t="n">
        <v>1</v>
      </c>
      <c r="D7" s="13" t="n">
        <v>1</v>
      </c>
      <c r="E7" s="13" t="n">
        <v>0</v>
      </c>
      <c r="F7" s="13" t="n">
        <v>0</v>
      </c>
      <c r="G7" s="13" t="n">
        <v>0.5</v>
      </c>
      <c r="H7" s="14">
        <f>SUM(C7:G7)</f>
        <v/>
      </c>
      <c r="I7" s="15" t="inlineStr">
        <is>
          <t>Header: only 1 param (p_overall_rating), missing player_id. INSERT INTO correct table but only 1 column. Cursor: c_player selects DISTINCT player_id — wrong concept (should be rating history). Loop: uses UPDATE instead of printing. Output: PUT_LINE attempted but garbled.</t>
        </is>
      </c>
    </row>
    <row r="8" ht="200" customHeight="1">
      <c r="A8" s="2" t="inlineStr">
        <is>
          <t>Nathan Hoang</t>
        </is>
      </c>
      <c r="B8" s="12" t="inlineStr">
        <is>
          <t>CREATE OR REPLACE PROCEDURE add_player_rating (
   p_player_id   NUMBER,
   p_attribute _date   DATE,
   p_overall_rating   NUMBER
)
IS
   CURSOR C IS
      SELECT attribute_date, overall_rating
      FROM PLAYER_ATTRIBUTE_HISTORY
      WHERE player_id = p_player_id
      ORDER BY attribute_date DESC;
BEGIN
   INSERT INTO PLAYER_ATTRIBUTE_HISTORY (player_id, attribute_date, overall_rating)
   VALUES (p_player_id, p_attribute_date, p_overall_rating);
   FOR r IN c LOOP 
      dbms_output.put_line(r.attribute_date || ' ' || r.overall_rating);
   END LOOP;
END;</t>
        </is>
      </c>
      <c r="C8" s="13" t="n">
        <v>2.5</v>
      </c>
      <c r="D8" s="13" t="n">
        <v>5</v>
      </c>
      <c r="E8" s="13" t="n">
        <v>3</v>
      </c>
      <c r="F8" s="13" t="n">
        <v>3</v>
      </c>
      <c r="G8" s="13" t="n">
        <v>2</v>
      </c>
      <c r="H8" s="14">
        <f>SUM(C8:G8)</f>
        <v/>
      </c>
      <c r="I8" s="15" t="inlineStr">
        <is>
          <t>Header: 3 params, space in "p_attribute _date" typo but otherwise correct. INSERT correct. Cursor: correct with WHERE and ORDER BY DESC. FOR LOOP correct. Output: correct with both fields.</t>
        </is>
      </c>
    </row>
    <row r="9" ht="200" customHeight="1">
      <c r="A9" s="2" t="inlineStr">
        <is>
          <t>Himanshu Ladole</t>
        </is>
      </c>
      <c r="B9" s="12" t="inlineStr">
        <is>
          <t>CREATE OR REPLACE PROCEDURE add_player_rating ( p_player_id IN PLAYER_ATTRIBUTE_HISTORY.player_id%TYPE,
                                                                                                p_attribute_date IN PLAYER_ATTRIBUTE_HISTORY.attribute_date%TYPE  ,
                                                                                                p_overall_rating IN PLAYER_ATTRIBUTE_HISTORY.overall_rating%TYPE) AS
CURSOR c_rating IS
      SELECT atrribute_date. overall_rating 
      FROM PLAYER_ATTRIBUTE_HISTORY
      WHERE player_id = p_player_id
      ORDER BY attribute_date DESC;
BEGIN
       INSERT INTO PLAYER_ATTRIBUTE_HISTORY (player_id,attribute_date, overall_rating)
       VALUES (p_player_id,p_attribute_date, p_overall_rating)
       dbms.outline_put.line ('Rating hisotory of player ID' || p_player_id);
r_history c_rating%ROWTYPE;
OPEN c_rating;
LOOP
FETCH c_rating INTO r_history;
EXIT WHEN c_rating%NOTFOUND;
 dbms.outline_put.line ('Date -' ||r_history.attribute_date || ' Rating -');
END LOOP;
CLOSE c_rating;
EXCEPTION
WHEN OTHERS THEN
 dbms.outline_put.line ('error' || SQLERM);
IF c_rating%ISOPEN THEN
CLOSE c_rating;
END IF;
END;</t>
        </is>
      </c>
      <c r="C9" s="13" t="n">
        <v>3</v>
      </c>
      <c r="D9" s="13" t="n">
        <v>4</v>
      </c>
      <c r="E9" s="13" t="n">
        <v>2.5</v>
      </c>
      <c r="F9" s="13" t="n">
        <v>2.5</v>
      </c>
      <c r="G9" s="13" t="n">
        <v>1</v>
      </c>
      <c r="H9" s="14">
        <f>SUM(C9:G9)</f>
        <v/>
      </c>
      <c r="I9" s="15" t="inlineStr">
        <is>
          <t>Header: uses %TYPE correctly, 3 params. INSERT correct but missing semicolon. Cursor: has WHERE and ORDER BY DESC but "atrribute_date." (period instead of comma) in SELECT. OPEN/FETCH/CLOSE pattern — correct structure. Output: "dbms.outline_put.line" (badly wrong name) but intent clear, and missing overall_rating in the second PUT_LINE.</t>
        </is>
      </c>
    </row>
    <row r="10" ht="200" customHeight="1">
      <c r="A10" s="2" t="inlineStr">
        <is>
          <t>Sydney Mendez</t>
        </is>
      </c>
      <c r="B10" s="12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4">
        <f>SUM(C10:G10)</f>
        <v/>
      </c>
      <c r="I10" s="15" t="inlineStr">
        <is>
          <t>Empty submission — no response.</t>
        </is>
      </c>
    </row>
    <row r="11" ht="200" customHeight="1">
      <c r="A11" s="2" t="inlineStr">
        <is>
          <t>Celest Moreira</t>
        </is>
      </c>
      <c r="B11" s="12" t="inlineStr">
        <is>
          <t>CREATE OR REPLACE PROCEDURE add_player_rating(
p_player_id NUMBER,
p_attribute_date DATE;
p_overall_rating NUMBER
)
IS 
       CURSOR c_rating_history IS 
                  SELECT attribute_date, over_rating
                  FROM PLAYER_ATTRIBUTE_HISTORY
                  WHERE player_id = p_player_id
                  ORDER BY attribute_date DESC;
BEGIN
         INSERT INTO PLAYER_ATTRIBUTE_HISTORY(
                player_id, 
                attribute_date, overall_rating
             )
          VALUES(
               p_player_id, p_attribute_date, p_overall_rating);
          FOR rec IN c_rating_history LOOP 
                     DBMS_OUTPUT.PUT_LINE( 'Date: ' || TO_CHAR (rec.attribute_date, 'YYYY-MM-DD') || ' | Overall Rating: ' || rec.overall_rating);
           END LOOP;
END;
/</t>
        </is>
      </c>
      <c r="C11" s="13" t="n">
        <v>2.5</v>
      </c>
      <c r="D11" s="13" t="n">
        <v>5</v>
      </c>
      <c r="E11" s="13" t="n">
        <v>2.5</v>
      </c>
      <c r="F11" s="13" t="n">
        <v>3</v>
      </c>
      <c r="G11" s="13" t="n">
        <v>2</v>
      </c>
      <c r="H11" s="14">
        <f>SUM(C11:G11)</f>
        <v/>
      </c>
      <c r="I11" s="15" t="inlineStr">
        <is>
          <t>Header: semicolons mixed with commas in params but 3 params correct. INSERT correct. Cursor: "over_rating" typo in SELECT but has WHERE and ORDER BY DESC. FOR LOOP correct. Output: excellent with TO_CHAR formatting.</t>
        </is>
      </c>
    </row>
    <row r="12" ht="200" customHeight="1">
      <c r="A12" s="2" t="inlineStr">
        <is>
          <t>Michael Nguyen</t>
        </is>
      </c>
      <c r="B12" s="12" t="inlineStr">
        <is>
          <t>CREATE OR REPLACE PROCEDURE and_player_rating (p_player_id NUMBER, p_attribute_date DATE, p_overall_rating NUMBER)
AS
BEGIN
INSERT into PLAYER_ATTRIBUTE_HISTORY
VALUES (p_player_id, p_attribute_date, p_overall_rating);
FOR rec IN (
SELECT attribute_date, overall_rating
FROM PLAYER_ATTRIBUTE_HISTORY
WHERE player_id = p_player_id
ORDER by attribute_date = DESC
LOOP DBMS_OUTPUT.PUT_LINE( rec.attribute_date || ' ' || rec.overall_rating);
END LOOP;
END;</t>
        </is>
      </c>
      <c r="C12" s="13" t="n">
        <v>2</v>
      </c>
      <c r="D12" s="13" t="n">
        <v>3</v>
      </c>
      <c r="E12" s="13" t="n">
        <v>3</v>
      </c>
      <c r="F12" s="13" t="n">
        <v>3</v>
      </c>
      <c r="G12" s="13" t="n">
        <v>2</v>
      </c>
      <c r="H12" s="14">
        <f>SUM(C12:G12)</f>
        <v/>
      </c>
      <c r="I12" s="15" t="inlineStr">
        <is>
          <t>Header: "and_player_rating" typo. INSERT uses VALUES shorthand (acceptable). Cursor: implicit FOR LOOP, correct table, WHERE, ORDER BY (has "= DESC" instead of just DESC). Loop and output correct.</t>
        </is>
      </c>
    </row>
    <row r="13" ht="200" customHeight="1">
      <c r="A13" s="2" t="inlineStr">
        <is>
          <t>Thuy Tien Nguyen</t>
        </is>
      </c>
      <c r="B13" s="12" t="inlineStr">
        <is>
          <t>INSERT INTO player_attribute_history 
  VALUES attribute_rate, overall_rating;
CREATE OR REPLACE PROCEDURE add_player_rating(p_attribute_rate,
                                                                                             p_overall_rating) AS
CURSOR c_ratings (p_pid NUMBER) IS
  SELECT pah.attribute_date, pah.overall_rating
  FROM PLAYER_ATTRIBUTE_HISTORY pah
  WHERE player_id = p_pid
  ORDER BY attribute_date DESC;
v_attribute_rate pah.attribute_rate%TYPE;
v_overall_rating pah.overall_rating%TYPE;
BEGIN
  OPEN c_rating;
  LOOP
  FETCH c_rating INTO v_attribute_rate, v_overall_rating;
  EXIT WHEN c_rating%NOTFOUND;
   dbms_output.put_line('Attribute date is: ' | | v_attribute_date);
   dbms_output.put_line('Overall rate is: ' | | v_overall_rating);
   END LOOP;
  END c_rating;
END;</t>
        </is>
      </c>
      <c r="C13" s="13" t="n">
        <v>1.5</v>
      </c>
      <c r="D13" s="13" t="n">
        <v>0</v>
      </c>
      <c r="E13" s="13" t="n">
        <v>2.5</v>
      </c>
      <c r="F13" s="13" t="n">
        <v>2</v>
      </c>
      <c r="G13" s="13" t="n">
        <v>1.5</v>
      </c>
      <c r="H13" s="14">
        <f>SUM(C13:G13)</f>
        <v/>
      </c>
      <c r="I13" s="15" t="inlineStr">
        <is>
          <t>INSERT is outside the procedure (before CREATE). Procedure has cursor correctly parameterized with WHERE and ORDER BY DESC. OPEN/FETCH/CLOSE pattern attempted — mostly correct but "END c_rating" instead of "CLOSE c_rating". Output present with both fields but "| |" spacing.</t>
        </is>
      </c>
    </row>
    <row r="14" ht="200" customHeight="1">
      <c r="A14" s="2" t="inlineStr">
        <is>
          <t>Reyna Singh</t>
        </is>
      </c>
      <c r="B14" s="12" t="inlineStr">
        <is>
          <t>CREATE OR REPLACE PROCEDURE add_player_rating(
p_player_id NUMBER,
p_attribute_date DATE,
p_overall_rating NUMBER) AS
CURSOR c_rating_history AS
SELECT attribute_date, overall_rating
FROM PLAYER_ATTRIBUTE_HISTORY
WHERE player_id = p_player_id
ORDER BY attribute_date DESC;
BEGIN
INSERT INTO PLAYER_ATTRIBUTE_HISTORY
(player_attr_id, player_id, attribute_date, overall_rating)
VALUES
(PLAYER_ATTR_SEQ.NEXTVAL, p_player_id, p_attribute_date, p_overall_rating);
FOR rec IN c_rating_history LOOP
DBMS_OUTPUT.PUT_LINE(
rec.attribute_date || ' - ' || rec.overall_rating);
END LOOP;
END;</t>
        </is>
      </c>
      <c r="C14" s="13" t="n">
        <v>3</v>
      </c>
      <c r="D14" s="13" t="n">
        <v>5</v>
      </c>
      <c r="E14" s="13" t="n">
        <v>2.5</v>
      </c>
      <c r="F14" s="13" t="n">
        <v>3</v>
      </c>
      <c r="G14" s="13" t="n">
        <v>2</v>
      </c>
      <c r="H14" s="14">
        <f>SUM(C14:G14)</f>
        <v/>
      </c>
      <c r="I14" s="15" t="inlineStr">
        <is>
          <t>Header correct. INSERT excellent — includes NEXTVAL for PK. Cursor: "c_rating_history AS" should be IS, but correct SELECT with WHERE and ORDER BY DESC. FOR LOOP correct. Output correct.</t>
        </is>
      </c>
    </row>
    <row r="15" ht="200" customHeight="1">
      <c r="A15" s="2" t="inlineStr">
        <is>
          <t>Wayne Wilhelm</t>
        </is>
      </c>
      <c r="B15" s="12" t="inlineStr">
        <is>
          <t>CREATE OR REPLACE PROCEDURE add_player_rating IN PLAYER_ATTRIBUTE_HISTORY (add_player_rating)
p_param1 attribute_date
p_pram2 overall_rating
AS 
BEGIN
END;</t>
        </is>
      </c>
      <c r="C15" s="13" t="n">
        <v>0.5</v>
      </c>
      <c r="D15" s="13" t="n">
        <v>0</v>
      </c>
      <c r="E15" s="13" t="n">
        <v>0</v>
      </c>
      <c r="F15" s="13" t="n">
        <v>0</v>
      </c>
      <c r="G15" s="13" t="n">
        <v>0</v>
      </c>
      <c r="H15" s="14">
        <f>SUM(C15:G15)</f>
        <v/>
      </c>
      <c r="I15" s="15" t="inlineStr">
        <is>
          <t>Header severely garbled — "add_player_rating IN PLAYER_ATTRIBUTE_HISTORY". Wrong param names. No INSERT. No cursor. No loop. No output. Just BEGIN/END with nothing inside.</t>
        </is>
      </c>
    </row>
    <row r="16" ht="200" customHeight="1">
      <c r="A16" s="2" t="inlineStr">
        <is>
          <t>Nicholas Nguyen</t>
        </is>
      </c>
      <c r="B16" s="12" t="inlineStr">
        <is>
          <t>CREATE OR REPLACE PROCEDURE add_player_rating (
p_player_id PLAYER.player_id%TYPE,
p_player_attr_id PLAYER_ATTRIBUTE_HISTORY.player_attr_id%TYPE
) AS
v_attribute_date PLAYER_ATTRIBUTE_HISTORY%TYPE;
v_overall_rating PLAYER_ATTRIBUTE_HISTORY%TYPE;
CURSOR c_player_rating IS (
SELECT attribute_date, overall_rating
FROM PLAYER_ATTRIBUTE_HISTORY
ORDER BY attribute_date DESC;
)
BEGIN
INSERT INTO PLAYER_ATTRIBUTE_HISTORY(player_attr_id, player_id)
VALUES(p_player_attr_id, p_player_id);
OPEN c_player_rating
LOOP
FETCH c_player_rating INTO v_attribute_date, v_overall_rating
EXIT WHEN NO_DATA_FOUND;
dbms_output.put_line('Player ID: ' || p_player_id ||' Attribute Date: '|| v_attribute_date || ' Overall Rating: ' || v_overall_rating);
END;
-- will insert into player attribute history table with params (player_attr_id PK and player_id), rest of values may be null.
-- after insertion for ONE row, procedure will loop to print all records in PLAYER_ATTRIBUTE_HISTORY table until no data is found.</t>
        </is>
      </c>
      <c r="C16" s="13" t="n">
        <v>1.5</v>
      </c>
      <c r="D16" s="13" t="n">
        <v>2</v>
      </c>
      <c r="E16" s="13" t="n">
        <v>2</v>
      </c>
      <c r="F16" s="13" t="n">
        <v>2</v>
      </c>
      <c r="G16" s="13" t="n">
        <v>2</v>
      </c>
      <c r="H16" s="14">
        <f>SUM(C16:G16)</f>
        <v/>
      </c>
      <c r="I16" s="15" t="inlineStr">
        <is>
          <t>Header: 2 params only (player_id, player_attr_id — missing date, rating). INSERT: only 2 columns. Cursor: missing WHERE clause (gets all players). OPEN/FETCH/CLOSE pattern attempted correctly. Output correct with 3 fields. Comments show understanding.</t>
        </is>
      </c>
    </row>
    <row r="17" ht="200" customHeight="1">
      <c r="A17" s="2" t="inlineStr">
        <is>
          <t>Anthony Sierra</t>
        </is>
      </c>
      <c r="B17" s="12" t="inlineStr">
        <is>
          <t>--CREATE--- 
CREATE OR REPLACE PROCEDURE add_player_rating ( 
   p_player_id  NUMBER, 
   p_attribute_date  DATE,
   p_overall_rating NUMBER, 
 ) AS 
   CURSOR c_history IS 
           SELECT attribute_date, overall_rating 
            FROM PKAYER_ATTRIBUTE_HISTORY
           WHERE player_id = p_player_id
            ORDER BY attribute_date DESC 
   v_history_row c_history%ROWTYPE ; 
---BEGIN portion----
BEGIN 
INSERT INTO PLAYER_ATTRIBUTE_HISTORY (player_id, attribute_date, overall_rating) 
VALUES (p_player_id, p_attribute_date, p_overall_rating) ; 
---DBMS----- 
DBMS_OUTPUT.PUT_LINE()  ll p_player_id) ; 
DBMS_OUTPUT.PUT_LINE('---------------------------')) ;
OPEN c_history;
LOOP
FETCH c_history INTO v_history_row; 
EXIT WHEN c_history%NOTFOUND; 
DBMS_OUTPUT.PUT_LINE ('Date; ' l l TO_CHAR (v_history_row.attribute_date, 'YYYY-MM-DD') l l 
                                                  ' l Rating : ' l l v_history_row.overall_rating); 
END LOOP; 
CLOSE c_history 
--EXCEPTION -- 
EXCEPTION 
WHEN OTHERS THEN 
DBMS_OUTPUT.PUT_LINE ('An errored occurred:  ' l l SQLEERM); 
IF c_history%ISOPEN THEN 
     CLOSE c_history; 
END IF; 
ID add_player_rating;</t>
        </is>
      </c>
      <c r="C17" s="13" t="n">
        <v>2.5</v>
      </c>
      <c r="D17" s="13" t="n">
        <v>5</v>
      </c>
      <c r="E17" s="13" t="n">
        <v>3</v>
      </c>
      <c r="F17" s="13" t="n">
        <v>2.5</v>
      </c>
      <c r="G17" s="13" t="n">
        <v>1.5</v>
      </c>
      <c r="H17" s="14">
        <f>SUM(C17:G17)</f>
        <v/>
      </c>
      <c r="I17" s="15" t="inlineStr">
        <is>
          <t>Header: 3 params, trailing comma. INSERT correct. Cursor: correct with WHERE and ORDER BY DESC, uses %ROWTYPE. OPEN/FETCH/CLOSE pattern — correct EXIT WHEN. Output: uses "l l" instead of "||" (written on paper), TO_CHAR formatting. "PKAYER" typo. CLOSE c_history missing semicolon. Good exception handling.</t>
        </is>
      </c>
    </row>
    <row r="18" ht="200" customHeight="1">
      <c r="A18" s="2" t="inlineStr">
        <is>
          <t>Ken Tran</t>
        </is>
      </c>
      <c r="B18" s="12" t="inlineStr">
        <is>
          <t>CREATE OR REPLACE PROCEDURE add_player_rating (
p_player_id IN NUMBER,
p_attribute_date IN DATE,
p_overall_rating IN NUMBER,
p_potential IN NUMBER,
p_preferred_foot IN VARCHAR 2) AS
BEGIN
INSERT INTO  PLAYER_ATTRIBUTE_HISTORY (
player _attr_id,
player_id ,
attribute_date,
overall_rating,
potential ,
preferred_foot) VALUES (
  (SELECT MAX(player_attr_id) + 1 FROM 
PLAYER_ATTRIBUTE_HISTORY), 
p_player_id ,
p_attribute_date ,
p_overall_rating ,
p_potential ,
p_preferred_foot); 
DBMS_OUTPUT.PUT_LINE ('Rating was added for player ID:'|| p_player_id);
DECLARE 
    CURSOR c_player_history IS
    FOR rec IN (
            SELECT attribute_date,overall_rating
           FROM PLAYER_ATTRIBUTE_HISTORY 
           WHERE player_id = p_player_id
          ORDER BY attribute_date DESC)  LOOP
           DBMS_OUTPUT.PUT_LINE ('Date: || TO_CHAR(rec.attribute_date, 'YYYY - MM -DD')|| 'Rating:' ||rec.overall_rating);
         END LOOP;
        CLOSE c_player_history;
EXCEPTION
              WHEN OTHERS THEN
RAISE_APPLICATION_ERROR(-20005, 'Error adding player rating: ' ||SQLERM);
END;</t>
        </is>
      </c>
      <c r="C18" s="13" t="n">
        <v>3</v>
      </c>
      <c r="D18" s="13" t="n">
        <v>5</v>
      </c>
      <c r="E18" s="13" t="n">
        <v>2.5</v>
      </c>
      <c r="F18" s="13" t="n">
        <v>2.5</v>
      </c>
      <c r="G18" s="13" t="n">
        <v>2</v>
      </c>
      <c r="H18" s="14">
        <f>SUM(C18:G18)</f>
        <v/>
      </c>
      <c r="I18" s="15" t="inlineStr">
        <is>
          <t>Header: 5 params including potential and preferred_foot — thorough. INSERT excellent with subquery for PK. Cursor: DECLARE in wrong place (inside BEGIN), mixes FOR LOOP with explicit cursor. Has WHERE and ORDER BY DESC. Output: missing closing quote in TO_CHAR string. CLOSE on cursor that was opened with FOR (wrong). Exception handling present.</t>
        </is>
      </c>
    </row>
    <row r="19" ht="200" customHeight="1">
      <c r="A19" s="2" t="inlineStr">
        <is>
          <t>Dan Brendza</t>
        </is>
      </c>
      <c r="B19" s="12" t="inlineStr">
        <is>
          <t>CREATE OR REPLACE PROCEDURE add_player_rating (p_overall_rating PLAYER_ATTRIBUTE_HISTORY.overall_rating%TYPE, p_attribute_date PLAYER_ATTRIBUTE_HISTORY.attribute_date%TYPE, p_id PLAYER_ATTRIBUTE_HISTORY.player_id%TYPE) AS
DECLARE
   v_rating NUMBER;
   v_date NUMBER;
   CURSOR c_ratings IS
      SELECT attribute_date, overall_rating
      FROM PLAYER_ATTRIBUTE_HISTORY
      WHERE player_id = p_id
      ORDER BY attribute_date DESC;
BEGIN
   INSERT INTO PLAYER_ATTRIBUTE_HISTORY (player_id, overall_rating, attribute_date)
   VALUES (p_id, p_overall_rating, p_attribute_date);
   OPEN c_ratings;
   LOOP
      FETCH c_ratings INTO v_date, v_rating;
      EXIT WHEN c_ratings%NOTFOUND
      dbms_output.put_line(v_date || v_rating);
   END LOOP;
   CLOSE c_ratings;
END;</t>
        </is>
      </c>
      <c r="C19" s="13" t="n">
        <v>3</v>
      </c>
      <c r="D19" s="13" t="n">
        <v>5</v>
      </c>
      <c r="E19" s="13" t="n">
        <v>3</v>
      </c>
      <c r="F19" s="13" t="n">
        <v>2.5</v>
      </c>
      <c r="G19" s="13" t="n">
        <v>1.5</v>
      </c>
      <c r="H19" s="14">
        <f>SUM(C19:G19)</f>
        <v/>
      </c>
      <c r="I19" s="15" t="inlineStr">
        <is>
          <t>Header: %TYPE correctly, 3 good params. DECLARE placement issue but functional. INSERT correct. Cursor: correct with WHERE, ORDER BY DESC. OPEN/FETCH/CLOSE: correct structure, EXIT WHEN missing semicolon. Output: put_line present but missing separator between date and rating.</t>
        </is>
      </c>
    </row>
    <row r="20" ht="200" customHeight="1">
      <c r="A20" s="2" t="inlineStr">
        <is>
          <t>Aiden Linderman</t>
        </is>
      </c>
      <c r="B20" s="12" t="inlineStr">
        <is>
          <t>CREATE OR REPLACE PROCEDURE add_player_rating(
    p_rating_name VARCHAR;
)
    IS
BEGIN</t>
        </is>
      </c>
      <c r="C20" s="13" t="n">
        <v>0.5</v>
      </c>
      <c r="D20" s="13" t="n">
        <v>0</v>
      </c>
      <c r="E20" s="13" t="n">
        <v>0</v>
      </c>
      <c r="F20" s="13" t="n">
        <v>0</v>
      </c>
      <c r="G20" s="13" t="n">
        <v>0</v>
      </c>
      <c r="H20" s="14">
        <f>SUM(C20:G20)</f>
        <v/>
      </c>
      <c r="I20" s="15" t="inlineStr">
        <is>
          <t>Header: only 1 param (p_rating_name VARCHAR). Only IS/BEGIN, nothing else.</t>
        </is>
      </c>
    </row>
    <row r="21" ht="200" customHeight="1">
      <c r="A21" s="2" t="inlineStr">
        <is>
          <t>Kyle Duong</t>
        </is>
      </c>
      <c r="B21" s="12" t="inlineStr">
        <is>
          <t>CREATE OR REPLACE PROCEDURE add_player_rating AS
BEGIN
END;</t>
        </is>
      </c>
      <c r="C21" s="13" t="n">
        <v>0.5</v>
      </c>
      <c r="D21" s="13" t="n">
        <v>0</v>
      </c>
      <c r="E21" s="13" t="n">
        <v>0</v>
      </c>
      <c r="F21" s="13" t="n">
        <v>0</v>
      </c>
      <c r="G21" s="13" t="n">
        <v>0</v>
      </c>
      <c r="H21" s="14">
        <f>SUM(C21:G21)</f>
        <v/>
      </c>
      <c r="I21" s="15" t="inlineStr">
        <is>
          <t>Only header and empty BEGIN/END. No params, no INSERT, no cursor, no output.</t>
        </is>
      </c>
    </row>
    <row r="22" ht="200" customHeight="1">
      <c r="A22" s="2" t="inlineStr">
        <is>
          <t>Nathan Jalandoni</t>
        </is>
      </c>
      <c r="B22" s="12" t="inlineStr">
        <is>
          <t>CREATE OR REPLACE PROCEDURE add_player_rating(
     p_player_id NUMBER,
     p_attribute_date DATE,
     p_overall_rating NUMBER
)
IS
     CURSOR c_ratings IS
          SELECT attribute_date, overall_rating
          FROM PLAYER_ATTRIBUTE_HISTORY
          WHERE player_id = p_player_id
          ORDER BY attribute _date DESC;
BEGIN 
     INSERT INTO PLAYER_ATTRIBUTE_HISTORY
          (player_id, attribute_date, overall_rating)
     VALUES
          (p_player_id, p_attribute_date, p_overall_rating);
     FOR rec IN c_ratings LOOP
          DBMS_OUTPUT.PUT_LINE(rec.attribute_date | |  ' '  | | rec.overall_rating);
     END LOOP;
END;
/</t>
        </is>
      </c>
      <c r="C22" s="13" t="n">
        <v>3</v>
      </c>
      <c r="D22" s="13" t="n">
        <v>5</v>
      </c>
      <c r="E22" s="13" t="n">
        <v>2.5</v>
      </c>
      <c r="F22" s="13" t="n">
        <v>3</v>
      </c>
      <c r="G22" s="13" t="n">
        <v>2</v>
      </c>
      <c r="H22" s="14">
        <f>SUM(C22:G22)</f>
        <v/>
      </c>
      <c r="I22" s="15" t="inlineStr">
        <is>
          <t>Header: 3 params correct. INSERT correct. Cursor: has WHERE and ORDER BY but "attribute _date" space typo. FOR LOOP correct. Output: "| |" spacing but both fields present. Clean overall.</t>
        </is>
      </c>
    </row>
    <row r="23" ht="200" customHeight="1">
      <c r="A23" s="2" t="inlineStr">
        <is>
          <t>Maria Visoso</t>
        </is>
      </c>
      <c r="B23" s="12" t="inlineStr">
        <is>
          <t>CREATE [OR REPLACE] PROCEDURE add_player_rating (overall_rating) AS 
DECLARE
player_attribute_id%type;
player_attribute_history%type;
overall_rating%type;
attribute_date%type;
CURSOR ePlayer IS
SELECT player_id, player_attribute_id, attribute_date, overall_rating
FROM Player_Attribute_History
WHERE attribute_date DESC;
BEGIN
OPEN ePlayer 
FOR Player_Attribute_History IN LOOP 
DMBS.OUTPUT.PUT_LINE(player_id)
FETCH ePlayer INTO player_id, player_attribute_id, overall_rating, attribute_date
EXIT WHEN ePlayer%ROWCOUNT
INSERT INTO Player_Attribute_History VALUES 
END LOOP
CLOSE ePlayer 
END;
/</t>
        </is>
      </c>
      <c r="C23" s="13" t="n">
        <v>0.5</v>
      </c>
      <c r="D23" s="13" t="n">
        <v>0</v>
      </c>
      <c r="E23" s="13" t="n">
        <v>1</v>
      </c>
      <c r="F23" s="13" t="n">
        <v>0.5</v>
      </c>
      <c r="G23" s="13" t="n">
        <v>0.5</v>
      </c>
      <c r="H23" s="14">
        <f>SUM(C23:G23)</f>
        <v/>
      </c>
      <c r="I23" s="15" t="inlineStr">
        <is>
          <t>Header: brackets, 1 param only. No INSERT (FETCH/INSERT at end is garbled). Cursor: selects from right table but no WHERE for player_id, uses DESC (but wrong placement). Loop: OPEN with messy FOR/FETCH mix. Output: DMBS.OUTPUT.PUT_LINE typo but attempts to print.</t>
        </is>
      </c>
    </row>
    <row r="24" ht="200" customHeight="1">
      <c r="A24" s="2" t="inlineStr">
        <is>
          <t>Angelina Nguyen</t>
        </is>
      </c>
      <c r="B24" s="12" t="inlineStr">
        <is>
          <t>CREATE OR REPLACE PROCEDURE add_player_rating AS
DECLARE
CURSOR c_player_rating_history IS
SELECT PAH.player_attr_id, PAH.player_id, PAH.attribute_date, PAH.overall_rating AS player_attribute
FROM player_attribute_history pah
LEFT JOIN player p ON p.player_id = pah.player_id
GROUP BY pah.attribute_date, pah.overall_rating
ORDER BY pah.overall_rating;
v_player_id PLAYER.player_id%TYPE;
v_player_overall_rating PLAYER_ATTRIBUTE_HISTORY.player_id%TYPE;
BEGIN
OPEN c_player_rating_history;
LOOP
FETCH c_player_rating_history into v_player_id, v_player_overall_rating;
EXIT WHEN c_player_rating_history%NOTFOUND;
DBMS_OUTPUT.PUT_LINE(
END LOOP;
CLOSE c_player_rating_history;
END;</t>
        </is>
      </c>
      <c r="C24" s="13" t="n">
        <v>0.5</v>
      </c>
      <c r="D24" s="13" t="n">
        <v>0</v>
      </c>
      <c r="E24" s="13" t="n">
        <v>2</v>
      </c>
      <c r="F24" s="13" t="n">
        <v>2</v>
      </c>
      <c r="G24" s="13" t="n">
        <v>0.5</v>
      </c>
      <c r="H24" s="14">
        <f>SUM(C24:G24)</f>
        <v/>
      </c>
      <c r="I24" s="15" t="inlineStr">
        <is>
          <t>Header: no params. No INSERT. Cursor: selects from right table with JOIN (unnecessary but works), GROUP BY, ORDER BY — has concept but ORDER BY wrong column. OPEN/FETCH/CLOSE pattern correct. Output: PUT_LINE present but cut off mid-statement.</t>
        </is>
      </c>
    </row>
    <row r="25" ht="200" customHeight="1">
      <c r="A25" s="2" t="inlineStr">
        <is>
          <t>Daniela Bribiesca</t>
        </is>
      </c>
      <c r="B25" s="12" t="inlineStr">
        <is>
          <t>Create or replace Procedure add_player_rating (
p_player_attr_id PLAYER_ATTRIBUTE_HISTORY.player_attr_id%type,
p_player_id player.Player_id %type)
as
v_count Number;
Begin 
select count(*) Into v_count
from PLAYER_ATTRIBUTE_HISTORY
where player_attr_id = p_player_attr_id and player_id = p_player_id;
dbms_output.Put_line ("Sucessfully added" ||  'attribute_date ; ' || 'overall_rating');
End;
/</t>
        </is>
      </c>
      <c r="C25" s="13" t="n">
        <v>1.5</v>
      </c>
      <c r="D25" s="13" t="n">
        <v>0</v>
      </c>
      <c r="E25" s="13" t="n">
        <v>0.5</v>
      </c>
      <c r="F25" s="13" t="n">
        <v>0</v>
      </c>
      <c r="G25" s="13" t="n">
        <v>0.5</v>
      </c>
      <c r="H25" s="14">
        <f>SUM(C25:G25)</f>
        <v/>
      </c>
      <c r="I25" s="15" t="inlineStr">
        <is>
          <t>Header: %TYPE used, 2 params. No INSERT (uses SELECT COUNT). Cursor: none. Attempts output but uses double quotes. Garbled overall.</t>
        </is>
      </c>
    </row>
    <row r="26" ht="200" customHeight="1">
      <c r="A26" s="2" t="inlineStr">
        <is>
          <t>Isaiah Sage Auste</t>
        </is>
      </c>
      <c r="B26" s="12" t="inlineStr">
        <is>
          <t>CREATE or REPLACE PROCEDURE add_player_rating AS
p_player_id NUMBER, p_attribute_date DATE, p_overall_rating NUMBER;
CURSOR c_overall_rating IS
SELECT attribute_date, overall_rating
FROM PLAYER_ATTRIBUTE_HISTORY
WHERE player_id = p_player_id
ORDER BY attribute_date DESC;
BEGIN
INSERT INTO PLAYER_ATTRIBUTE_HISTORY
(player_id, attribute_date, overall_rating)
VALUES (p_player_id, p_attribute_date, p_overall_rating);
FOR i IN c_overall_rating LOOP
DBMS_OUTPUT.PUT_LINE( 'attribute date =' | | i.attribute_date || 'overall rating = || i.overall_rating);
END LOOP
END;</t>
        </is>
      </c>
      <c r="C26" s="13" t="n">
        <v>1.5</v>
      </c>
      <c r="D26" s="13" t="n">
        <v>4</v>
      </c>
      <c r="E26" s="13" t="n">
        <v>3</v>
      </c>
      <c r="F26" s="13" t="n">
        <v>3</v>
      </c>
      <c r="G26" s="13" t="n">
        <v>1.5</v>
      </c>
      <c r="H26" s="14">
        <f>SUM(C26:G26)</f>
        <v/>
      </c>
      <c r="I26" s="15" t="inlineStr">
        <is>
          <t>Header: params listed after AS without parens. INSERT correct. Cursor correct with WHERE and ORDER BY. FOR LOOP correct. Output: missing closing quote in concatenation.</t>
        </is>
      </c>
    </row>
    <row r="27" ht="200" customHeight="1">
      <c r="A27" s="2" t="inlineStr">
        <is>
          <t>Nioni England</t>
        </is>
      </c>
      <c r="B27" s="12" t="inlineStr">
        <is>
          <t>CREATE OR REPLACE PROCEDURE add_player_rating( ) AS 
vAttriDate PLAYER_ATTRIBUTE_HISTORY.attribute_date%TYPE;
vRating PLAYER_ATTRIBUTE_HISTORY.overall_rating%TYPE;
BEGIN 
INSERT INTO PLAYER_ATTRIBUTE_HISTORY ('0301','nathan') 
CURSOR cPrinter IS
SELECT overall_rating FROM PLAYER_ATTRIBUTE_HISTORY
dbms_output.put_line ('The new player rating is ' |overall_rating| ' on ' |attribute_date| );
ORER BY DESC;
OPEN cPrinter;
CLOSE cPrinter;</t>
        </is>
      </c>
      <c r="C27" s="13" t="n">
        <v>0.5</v>
      </c>
      <c r="D27" s="13" t="n">
        <v>1</v>
      </c>
      <c r="E27" s="13" t="n">
        <v>1</v>
      </c>
      <c r="F27" s="13" t="n">
        <v>0.5</v>
      </c>
      <c r="G27" s="13" t="n">
        <v>0.5</v>
      </c>
      <c r="H27" s="14">
        <f>SUM(C27:G27)</f>
        <v/>
      </c>
      <c r="I27" s="15" t="inlineStr">
        <is>
          <t>Header: empty params. INSERT present but wrong values. Cursor declared but no WHERE clause, no ORDER BY. OPEN/CLOSE present but no loop between them. Output attempted but garbled syntax.</t>
        </is>
      </c>
    </row>
    <row r="28" ht="200" customHeight="1">
      <c r="A28" s="2" t="inlineStr">
        <is>
          <t>Vanessa Nguyen</t>
        </is>
      </c>
      <c r="B28" s="12" t="inlineStr">
        <is>
          <t>CREATE OR REPLACE PROCEDURE  add_player_rating(p_attribute_date,p_overall_rating) AS
  CURSOR rating_history
BEGIN
   INSERT INTO PLAYER_ATTRIBUTE_HISTORY(attribute_date, overall_rating)
    VALUES(p_attribute_date, p_overall_rating)
dbms_output.put_line('
   OPEN rating_history;
END;
/</t>
        </is>
      </c>
      <c r="C28" s="13" t="n">
        <v>1</v>
      </c>
      <c r="D28" s="13" t="n">
        <v>2</v>
      </c>
      <c r="E28" s="13" t="n">
        <v>0.5</v>
      </c>
      <c r="F28" s="13" t="n">
        <v>0</v>
      </c>
      <c r="G28" s="13" t="n">
        <v>0.5</v>
      </c>
      <c r="H28" s="14">
        <f>SUM(C28:G28)</f>
        <v/>
      </c>
      <c r="I28" s="15" t="inlineStr">
        <is>
          <t>Header: 2 params without datatypes. INSERT: correct table and 2 columns. Cursor: declared but incomplete (no SELECT). No loop (OPEN present but no FETCH). Output: put_line present but cut off.</t>
        </is>
      </c>
    </row>
    <row r="29" ht="200" customHeight="1">
      <c r="A29" s="2" t="inlineStr">
        <is>
          <t>Carlos Caro</t>
        </is>
      </c>
      <c r="B29" s="12" t="inlineStr"/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4">
        <f>SUM(C29:G29)</f>
        <v/>
      </c>
      <c r="I29" s="15" t="inlineStr">
        <is>
          <t>Empty submission.</t>
        </is>
      </c>
    </row>
    <row r="30" ht="200" customHeight="1">
      <c r="A30" s="2" t="inlineStr">
        <is>
          <t>Ian Kim</t>
        </is>
      </c>
      <c r="B30" s="12" t="inlineStr">
        <is>
          <t>-- PROCEDURE 
CREATE OR REPLACE PROCEDURE add_player_rating(
     p_player_id NUMBER, 
     p_attribute_date DATE, 
     p_overall_rating NUMBER, 
)
IS 
    CURSOR rating_cur OS
                 SELECT attribute_date, overall_rating
                 FROM player_attribute_history
                 WHERE player_id = p_player_id
                 ORDER BY attribute_date DESC;
BEGIN
           INSERT INTO player_attribute_history
          (player_id, attribute_date, overall_rating)
          VALUES 
          (p_player_id, p_attribute_date, p_overall_rating)
           FOR rec In rating_cur LOOP        
                    DBMS_OUTPUT.PUT_LINE(
                                    rec.attribute.date || '-' || rec_overall_rating
                       );
              END LOOP;
END; /</t>
        </is>
      </c>
      <c r="C30" s="13" t="n">
        <v>3</v>
      </c>
      <c r="D30" s="13" t="n">
        <v>4</v>
      </c>
      <c r="E30" s="13" t="n">
        <v>3</v>
      </c>
      <c r="F30" s="13" t="n">
        <v>2.5</v>
      </c>
      <c r="G30" s="13" t="n">
        <v>1.5</v>
      </c>
      <c r="H30" s="14">
        <f>SUM(C30:G30)</f>
        <v/>
      </c>
      <c r="I30" s="15" t="inlineStr">
        <is>
          <t>Header: 3 params correct. INSERT correct. Cursor: "OS" instead of "IS" but correct table, WHERE, ORDER BY DESC. FOR LOOP correct. Output: "rec.attribute.date" (dot instead of underscore), "rec_overall_rating" (underscore instead of dot).</t>
        </is>
      </c>
    </row>
    <row r="31" ht="200" customHeight="1">
      <c r="A31" s="2" t="inlineStr">
        <is>
          <t>Taylor Lewis</t>
        </is>
      </c>
      <c r="B31" s="12" t="inlineStr">
        <is>
          <t>CREATE OR REPLACE PROCEDURE add_player_rating AS 
BEGIN
     SELECT player_id, 
     FROM
     FROM
END; 
PLAYER_ATTRIBUTE_HISTORY(player_attr_id, player_id, attribute_date, overall_rating, potential, preferred_foot)</t>
        </is>
      </c>
      <c r="C31" s="13" t="n">
        <v>0.5</v>
      </c>
      <c r="D31" s="13" t="n">
        <v>0</v>
      </c>
      <c r="E31" s="13" t="n">
        <v>0</v>
      </c>
      <c r="F31" s="13" t="n">
        <v>0</v>
      </c>
      <c r="G31" s="13" t="n">
        <v>0</v>
      </c>
      <c r="H31" s="14">
        <f>SUM(C31:G31)</f>
        <v/>
      </c>
      <c r="I31" s="15" t="inlineStr">
        <is>
          <t>Header with no params. BEGIN/SELECT but incomplete — lists table schema at end. No INSERT, no cursor, no output.</t>
        </is>
      </c>
    </row>
    <row r="32" ht="200" customHeight="1">
      <c r="A32" s="2" t="inlineStr">
        <is>
          <t>Ronald Portillo Quinteros</t>
        </is>
      </c>
      <c r="B32" s="12" t="inlineStr">
        <is>
          <t>CREATE OR REPLACE PACKAGE add_player_rating AS
PROCEDURE (add_player_rating) AS
BEGIN
INSERT INTO History(PLAYER_ATTRIBUTE_HISTORY) VALUE(add_player_rating);
CURSOR add_player
DBMS_OUTPUT.PUT_LINE (r_player.srating || ' | History: ' || r_PLAYER_ATTRIBUTE_HISTORY);
END;</t>
        </is>
      </c>
      <c r="C32" s="13" t="n">
        <v>0</v>
      </c>
      <c r="D32" s="13" t="n">
        <v>0.5</v>
      </c>
      <c r="E32" s="13" t="n">
        <v>0.5</v>
      </c>
      <c r="F32" s="13" t="n">
        <v>0</v>
      </c>
      <c r="G32" s="13" t="n">
        <v>0.5</v>
      </c>
      <c r="H32" s="14">
        <f>SUM(C32:G32)</f>
        <v/>
      </c>
      <c r="I32" s="15" t="inlineStr">
        <is>
          <t>Creates as PACKAGE not PROCEDURE (wrong construct). INSERT attempted but garbled. Cursor declared but not used properly. Output attempted.</t>
        </is>
      </c>
    </row>
    <row r="33" ht="200" customHeight="1">
      <c r="A33" s="2" t="inlineStr">
        <is>
          <t>Luis Ibarra</t>
        </is>
      </c>
      <c r="B33" s="12" t="inlineStr">
        <is>
          <t>CREATE OR REPLACE PROCEDURE
p_player_id NUMBER
p_attribute_date DATE,
p_overall_rating NUMBER
) IS
CURSOR rating_cursor IS
SELECT attribute_date, overall_rating
FROM player_attribute_histroy
WHERE player_id = p_player_id
ORDER BY attritubte_date DESC;
BEGIN
INSERT INTO player_attribute_history
(player_id, attrobute_date, overall_rating)
VALUES
(p_player_id,p_attribute_date, p_overall_rating)
FOR rec IN rating_cursor LOOP
dbms_output.put_line ( rec.attribute_date || rec.overall_rating);
END LOOP:
END;
/</t>
        </is>
      </c>
      <c r="C33" s="13" t="n">
        <v>2</v>
      </c>
      <c r="D33" s="13" t="n">
        <v>4</v>
      </c>
      <c r="E33" s="13" t="n">
        <v>3</v>
      </c>
      <c r="F33" s="13" t="n">
        <v>3</v>
      </c>
      <c r="G33" s="13" t="n">
        <v>2</v>
      </c>
      <c r="H33" s="14">
        <f>SUM(C33:G33)</f>
        <v/>
      </c>
      <c r="I33" s="15" t="inlineStr">
        <is>
          <t>Header: missing procedure name (CREATE OR REPLACE PROCEDURE then params). INSERT correct. Cursor: correct with WHERE and ORDER BY DESC, "histroy" and "attritubte_date" typos. FOR LOOP correct. Output correct with both fields. "END LOOP:" colon instead of semicolon.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80" customWidth="1" min="2" max="2"/>
    <col width="18" customWidth="1" min="3" max="3"/>
    <col width="18" customWidth="1" min="4" max="4"/>
    <col width="18" customWidth="1" min="5" max="5"/>
    <col width="18" customWidth="1" min="6" max="6"/>
    <col width="10" customWidth="1" min="7" max="7"/>
    <col width="30" customWidth="1" min="8" max="8"/>
  </cols>
  <sheetData>
    <row r="1">
      <c r="A1" s="11" t="inlineStr">
        <is>
          <t>Q16_pkg_team_tools — 12 points total</t>
        </is>
      </c>
    </row>
    <row r="2">
      <c r="A2" s="1" t="inlineStr">
        <is>
          <t>Student Name</t>
        </is>
      </c>
      <c r="B2" s="1" t="inlineStr">
        <is>
          <t>Response</t>
        </is>
      </c>
      <c r="C2" s="1" t="inlineStr">
        <is>
          <t>A. Package specification (4 pts)</t>
        </is>
      </c>
      <c r="D2" s="1" t="inlineStr">
        <is>
          <t>B. Package body structure (3 pts)</t>
        </is>
      </c>
      <c r="E2" s="1" t="inlineStr">
        <is>
          <t>C. Private helper placement (3 pts)</t>
        </is>
      </c>
      <c r="F2" s="1" t="inlineStr">
        <is>
          <t>D. Call from public→private (2 pts)</t>
        </is>
      </c>
      <c r="G2" s="1" t="inlineStr">
        <is>
          <t>Total</t>
        </is>
      </c>
      <c r="H2" s="1" t="inlineStr">
        <is>
          <t>Notes</t>
        </is>
      </c>
    </row>
    <row r="3" ht="200" customHeight="1">
      <c r="A3" s="2" t="inlineStr">
        <is>
          <t>Melaud Shalikar</t>
        </is>
      </c>
      <c r="B3" s="12" t="inlineStr">
        <is>
          <t>CREATE OR REPLACE PACKAGE pkg_team_utils IS
  FUNCTION team_label(
     p_team_id IN NUMBER
   ) RETURN VARCHAR2;
  PROCEDURE print_team_message(
     p_team_id IN NUMBER
   );
  Function count_team_players(
     p_team_id IN NUMBER
   ) RETURN NUMBER;
END pgk_team_utils;
/
CREATE OR REPLACE PACKAGE BODY pkg_team_utils IS
    p_unit_team_id NUMBER := 10;
    PROCEDURE log_action IS
    BEGIN
       NULL;
    END log_action;
    FUNCTION team_Label(
      p_team_id IN NUMBER
    ) RETURN VARCHAR2
    IS
    BEGIN 
         RETURN NULL;
    END team_label;
    Procedure print_team_message(
      p_team_id IN NUMBER;
END/</t>
        </is>
      </c>
      <c r="C3" s="13" t="n">
        <v>3</v>
      </c>
      <c r="D3" s="13" t="n">
        <v>1</v>
      </c>
      <c r="E3" s="13" t="n">
        <v>3</v>
      </c>
      <c r="F3" s="13" t="n">
        <v>0</v>
      </c>
      <c r="G3" s="14">
        <f>SUM(C3:F3)</f>
        <v/>
      </c>
      <c r="H3" s="15" t="inlineStr">
        <is>
          <t>Spec: wrong package name "pkg_team_utils" and "pgk_team_utils" at END, but 3 routines declared (get renamed to team_label). Minor name deviations. Body: starts correctly, log_action private, but body is incomplete - only get_team_label implemented, print_team_message cut off. No call to log_action visible. Spurious variable p_unit_team_id.</t>
        </is>
      </c>
    </row>
    <row r="4" ht="200" customHeight="1">
      <c r="A4" s="2" t="inlineStr">
        <is>
          <t>Alyssa Kathryn Espino</t>
        </is>
      </c>
      <c r="B4" s="12" t="inlineStr">
        <is>
          <t>CREATE OR REPLACE PACKAGE BODY pkg_team_tools IS 
PROCEDURE log_action IS 
BEGIN NULL; 
END log_action; 
FUNCTION get_team_label(p_team_id IN NUMBER) 
RETURN VARCHAR2 IS 
BEGIN RETURN NULL;
END get_team_label; 
PROCEDURE print_team_message(p_team_id IN NUMBER) IS 
BEGIN log_action; 
            NULL; 
END print_team_message;
FUNCTION count_team_players(p_team_id IN NUMBER) 
RETURN NUMBER IS 
BEGIN RETURN NULL; 
END count_team_players; 
END pkg_team_tools;</t>
        </is>
      </c>
      <c r="C4" s="13" t="n">
        <v>0</v>
      </c>
      <c r="D4" s="13" t="n">
        <v>3</v>
      </c>
      <c r="E4" s="13" t="n">
        <v>3</v>
      </c>
      <c r="F4" s="13" t="n">
        <v>2</v>
      </c>
      <c r="G4" s="14">
        <f>SUM(C4:F4)</f>
        <v/>
      </c>
      <c r="H4" s="15" t="inlineStr">
        <is>
          <t>NO SPEC written — only package body. Body: correct structure with all 3 routines + log_action private. log_action correctly first in body. print_team_message calls log_action. But missing spec entirely.</t>
        </is>
      </c>
    </row>
    <row r="5" ht="200" customHeight="1">
      <c r="A5" s="2" t="inlineStr">
        <is>
          <t>Alexis Garcia</t>
        </is>
      </c>
      <c r="B5" s="12" t="inlineStr">
        <is>
          <t>CREATE OR REPLACE PACKAGE pkg_team_tools</t>
        </is>
      </c>
      <c r="C5" s="13" t="n">
        <v>0</v>
      </c>
      <c r="D5" s="13" t="n">
        <v>0</v>
      </c>
      <c r="E5" s="13" t="n">
        <v>0</v>
      </c>
      <c r="F5" s="13" t="n">
        <v>0</v>
      </c>
      <c r="G5" s="14">
        <f>SUM(C5:F5)</f>
        <v/>
      </c>
      <c r="H5" s="15" t="inlineStr">
        <is>
          <t>Only one line: CREATE OR REPLACE PACKAGE pkg_team_tools. Nothing else.</t>
        </is>
      </c>
    </row>
    <row r="6" ht="200" customHeight="1">
      <c r="A6" s="2" t="inlineStr">
        <is>
          <t>Taylor Gensler</t>
        </is>
      </c>
      <c r="B6" s="12" t="inlineStr">
        <is>
          <t>PACKAGE SPECIFICATION
CREATE OR REPLACE PACKAGE pkg_team_tools IS
FUNCTION get_team_label (p_team_id IN NUMBER)
RETURN VARCHAR 2
PROCEDURE print_team_message (p_team_id IN NUMBER); 
FUNCTION  count_team_players(p_team_id IN NUMBER) RETURN NUMBER; 
RETURN NUMBER 
ENG pkg_team_tools
)
PACKAGE BODY
CREATE OR REPLACE PACKAGE BODY pkg_team_tools IS 
PROCEDURE log_action_msg IN VARCHAR 2 IS 
RETURN VARCHAR2
PROCEDURE  print_team_message(p_team_id IN NUMBER)
FUNCTION  print_team_message(p_team_id IN NUMBER) IS 
BEGIN 
NULL 
END log_action 
FUNTION 
get_team_label(p_team_id IN NUMBER) RETURN VARCHAR2;
FUNCTION count team players 
RETURN NUMBER 
IS
BEGIN 
RETURN NULL 
END COUNT TEAM PLAYERS
END PKG TOOLS</t>
        </is>
      </c>
      <c r="C6" s="13" t="n">
        <v>2</v>
      </c>
      <c r="D6" s="13" t="n">
        <v>1</v>
      </c>
      <c r="E6" s="13" t="n">
        <v>1</v>
      </c>
      <c r="F6" s="13" t="n">
        <v>0</v>
      </c>
      <c r="G6" s="14">
        <f>SUM(C6:F6)</f>
        <v/>
      </c>
      <c r="H6" s="15" t="inlineStr">
        <is>
          <t>Spec: has package name, 3 declarations attempted but missing semicolons, RETURN misplaced, "ENG" instead of END. Body: attempted but very garbled — log_action present but confused with other routines, FUNTION typo, mixing up declarations. No clear call from print_team_message to log_action.</t>
        </is>
      </c>
    </row>
    <row r="7" ht="200" customHeight="1">
      <c r="A7" s="2" t="inlineStr">
        <is>
          <t>Joey Ha</t>
        </is>
      </c>
      <c r="B7" s="12" t="inlineStr">
        <is>
          <t>CREATE OR REPLACE PACKAGE BODY pkg_team_tools AS 
FUNCTION get_team_label(p_team_id NUMBER) RETURN VARCHAR 2;
FUNCTION count_team_players(p_team_id NUMBER) RETURN NUMBER;
PROCEDURE print_team_message(p_team_id NUMBER) AS NULL;
RETURN;</t>
        </is>
      </c>
      <c r="C7" s="13" t="n">
        <v>0</v>
      </c>
      <c r="D7" s="13" t="n">
        <v>1</v>
      </c>
      <c r="E7" s="13" t="n">
        <v>0</v>
      </c>
      <c r="F7" s="13" t="n">
        <v>0</v>
      </c>
      <c r="G7" s="14">
        <f>SUM(C7:F7)</f>
        <v/>
      </c>
      <c r="H7" s="15" t="inlineStr">
        <is>
          <t>Written as PACKAGE BODY only (no spec). Lists declarations but mixes them — has RETURN after procedure. No proper implementations. No log_action. No call.</t>
        </is>
      </c>
    </row>
    <row r="8" ht="200" customHeight="1">
      <c r="A8" s="2" t="inlineStr">
        <is>
          <t>Nathan Hoang</t>
        </is>
      </c>
      <c r="B8" s="12" t="inlineStr">
        <is>
          <t>CREATE OR REPLACE PACKAGE pkg_team_tools 
   FUNCTION get_team_label(p_team_id NUMBER) RETURN varchar2;
   PROCEDURE print_team_message(p_team_id NUMBER);
   FUNCTION count_team_players(p_team_id NUMBER) RETURN NUMBER;
END pkg_team_tools;
CREATE OR REPLACE PACKAGE BODY pkg_team_tools IS
   PROCEDURE log_action IS
BEGIN
   NULL;
END;
FUNCTION get_team_label(p_team_id NUMBER) RETURN varchar2 IS
BEGIN
   RETURN NULL;
END;
PROCEDURE print_team_message(p_team_id NUMBER) IS
BEGIN
   Log_action;
   NULL;
END;
FUNCTION count_team_players(p_team_id NUMBER) RETURN NUMBER IS
BEGIN 
   RETURN NULL;
END;</t>
        </is>
      </c>
      <c r="C8" s="13" t="n">
        <v>3</v>
      </c>
      <c r="D8" s="13" t="n">
        <v>3</v>
      </c>
      <c r="E8" s="13" t="n">
        <v>3</v>
      </c>
      <c r="F8" s="13" t="n">
        <v>2</v>
      </c>
      <c r="G8" s="14">
        <f>SUM(C8:F8)</f>
        <v/>
      </c>
      <c r="H8" s="15" t="inlineStr">
        <is>
          <t>Spec: missing IS/AS keyword after package name, but all 3 declarations present. Body: correct structure. log_action private, implemented first. print_team_message calls log_action. All routines implemented. Missing END pkg_team_tools at end of body.</t>
        </is>
      </c>
    </row>
    <row r="9" ht="200" customHeight="1">
      <c r="A9" s="2" t="inlineStr">
        <is>
          <t>Himanshu Ladole</t>
        </is>
      </c>
      <c r="B9" s="12" t="inlineStr">
        <is>
          <t>CREATE OR REPLACE PACKAGE pkg_team_tools AS
                 PROCEDURE log_action ( );
                 FUNCTION get_team_label ( p_team_id IN NUMBER ) RETURN VARCHAR2;
                 PROCEDURE print_team_message ( p_team_id IN NUMBER );
                 FUNCTION count_team_players ( p_team_id IN NUMBER ) RETURN NUMBER;
END pkg_team_tools;</t>
        </is>
      </c>
      <c r="C9" s="13" t="n">
        <v>2</v>
      </c>
      <c r="D9" s="13" t="n">
        <v>0</v>
      </c>
      <c r="E9" s="13" t="n">
        <v>0</v>
      </c>
      <c r="F9" s="13" t="n">
        <v>0</v>
      </c>
      <c r="G9" s="14">
        <f>SUM(C9:F9)</f>
        <v/>
      </c>
      <c r="H9" s="15" t="inlineStr">
        <is>
          <t>Spec: includes log_action (should be private — key error, -2). Has all 3 public routines. No package body at all.</t>
        </is>
      </c>
    </row>
    <row r="10" ht="200" customHeight="1">
      <c r="A10" s="2" t="inlineStr">
        <is>
          <t>Sydney Mendez</t>
        </is>
      </c>
      <c r="B10" s="12" t="inlineStr">
        <is>
          <t>CREATE OR REPLACE PACKAGE pkg_teamtools AS
FUNCTION get_team_label(p_team_id IN NUMBER) RETURN VARCHAR2;
PROCEDURE print_team_message(p_team_id IN NUMBER);
FUNCTION count_team_players(p_team_id IN NUMBER) RETURN NUMBER;
END pkg_team_tools;
/
--
CREATE OR REPLACE PACKAGE BODY pkg_team_tools AS
PROCEDURE log_action(p_team_id IN NUMBER) IS
BEGIN 
NULL;
END log_action;
FUNCTION get_team_label(p_team_id In NUMBER) RETURN VARCHAR2 IS
BEGIN
RETURN NULL;
END get_team_label;
PROCEDURE print_team_message(p_team_id IN NUMBER IS 
BEGIN
log_action(p_team_id;
END print_team_message;
FUNCTION count_team_players(p_team_id IN NUMBER) RETURN NUMBER IS
BEGIN 
RETURN NULL;
END count_team_players;
END pkg_team_tools;
/</t>
        </is>
      </c>
      <c r="C10" s="13" t="n">
        <v>3.5</v>
      </c>
      <c r="D10" s="13" t="n">
        <v>2.5</v>
      </c>
      <c r="E10" s="13" t="n">
        <v>3</v>
      </c>
      <c r="F10" s="13" t="n">
        <v>2</v>
      </c>
      <c r="G10" s="14">
        <f>SUM(C10:F10)</f>
        <v/>
      </c>
      <c r="H10" s="15" t="inlineStr">
        <is>
          <t>Spec: "pkg_teamtools" (missing underscore) but all 3 declarations correct. Body: log_action private with param (acceptable), all routines present. print_team_message calls log_action. Missing closing paren in one call. Minor syntax issues.</t>
        </is>
      </c>
    </row>
    <row r="11" ht="200" customHeight="1">
      <c r="A11" s="2" t="inlineStr">
        <is>
          <t>Celest Moreira</t>
        </is>
      </c>
      <c r="B11" s="12" t="inlineStr">
        <is>
          <t>PACKAGE SPECIFICATION: 
CREATE OR REPLACE PACKAGE pkg_team_tools IS 
    FUNCTION  get_team_label(p_team_id IN NUMBER)
          RETURN VARCHAR2; 
    PROCEDURE print_team_message(p_team_message(p_team_id IN NUMBER);
    FUNCTION count_team_players(p_team_id IN NUMBER)
           RETURN NUMBER;
ENG pkg_team_tools;
/
PACKAGE BODY: 
CREATE OR REPLACE PACKAGE BODY pkg_team_tools IS 
      PROCEDURE log_action(p_msg IN VARCHAR2) IS 
      BEGIN 
            NULL: 
       END log_action;
      FUNCTION get_team_label (p_team_id IN NUMBER)
            RETURN VARCHAR2
       IS 
       BEGIN 
              RETURN NULL;
        END get_team_label;
        PROCEDURE print_team_message (p_team_id IN NUMBER) IS 
         BEGIN 
              log_action('Printing team message:');
               NULL:
         END print_team_message; 
         FUNCTION count_team_players(p_team_id IN NUMBER)
            RETURN NUMBER
         IS 
         BEGIN 
            RETURN NULL;
         END count_team_players; 
END pkg_team_tools;
/</t>
        </is>
      </c>
      <c r="C11" s="13" t="n">
        <v>3</v>
      </c>
      <c r="D11" s="13" t="n">
        <v>3</v>
      </c>
      <c r="E11" s="13" t="n">
        <v>3</v>
      </c>
      <c r="F11" s="13" t="n">
        <v>2</v>
      </c>
      <c r="G11" s="14">
        <f>SUM(C11:F11)</f>
        <v/>
      </c>
      <c r="H11" s="15" t="inlineStr">
        <is>
          <t>Spec: "ENG" instead of END, "print_team_message(p_team_message(" double paren typo. Body: correct structure, log_action private with param, called from print_team_message. All routines implemented. Uses "NULL:" instead of "NULL;" (colon).</t>
        </is>
      </c>
    </row>
    <row r="12" ht="200" customHeight="1">
      <c r="A12" s="2" t="inlineStr">
        <is>
          <t>Michael Nguyen</t>
        </is>
      </c>
      <c r="B12" s="12" t="inlineStr">
        <is>
          <t>create or replace package pkg_team_tools as
FUNCTION get_team_label(p_team_id IN NUMBER) RETURN VARCHAR2;
PROCEDURE print_team_message(p_team_id IN NUMBER);
FUNCTION count_team_players(p_team_id IN NUMBER) RETURN NUMBER;
end pkg_team_tools;
/
create or replace package body pkg_team_tools AS
Procedure log_action IS
BEGIN
Null;
end; 
FUNCTION get_team_label(p_team_id IN NUMBER) RETURN VARCHAR2 IS
Begin
Return NULL;
end;
 PROCEDURE print_team_message(p_team_id IN NUMBER) IS
BEGIN
log_action;
null;
end;
 FUNCTION count_team_players(p_team_id IN NUMBER) RETURN NUMBER IS
Begin
return null;
end;
end pkg_team_tools;</t>
        </is>
      </c>
      <c r="C12" s="13" t="n">
        <v>4</v>
      </c>
      <c r="D12" s="13" t="n">
        <v>3</v>
      </c>
      <c r="E12" s="13" t="n">
        <v>3</v>
      </c>
      <c r="F12" s="13" t="n">
        <v>2</v>
      </c>
      <c r="G12" s="14">
        <f>SUM(C12:F12)</f>
        <v/>
      </c>
      <c r="H12" s="15" t="inlineStr">
        <is>
          <t>Spec: perfect — all 3 public routines, correct END. Body: all routines implemented with log_action private. print_team_message calls log_action. Clean structure.</t>
        </is>
      </c>
    </row>
    <row r="13" ht="200" customHeight="1">
      <c r="A13" s="2" t="inlineStr">
        <is>
          <t>Thuy Tien Nguyen</t>
        </is>
      </c>
      <c r="B13" s="12" t="inlineStr">
        <is>
          <t>CREATE OR REPLACE PACKAGE pkg_team_tools AS
  FUNCTION get_team_label(p_team_id IN NUMBER) RETURN VARCHAR2;
  PROCEDURE print_team_message(p_team_id IN NUMBER);
  FUNCTION count_team_players(p_team_id IN NUMBER) RETURN NUMBER;
END pkg_team_tools;
CREATE OR REPLACE PACKAGE BODY pkg_team_tools_body AS
  CREATE OR REPLACE PROCEDURE log_action(p_team_id IN NUMBER) AS
  END log_action;
END pkg_team_tools_body;</t>
        </is>
      </c>
      <c r="C13" s="13" t="n">
        <v>4</v>
      </c>
      <c r="D13" s="13" t="n">
        <v>0.5</v>
      </c>
      <c r="E13" s="13" t="n">
        <v>0</v>
      </c>
      <c r="F13" s="13" t="n">
        <v>0</v>
      </c>
      <c r="G13" s="14">
        <f>SUM(C13:F13)</f>
        <v/>
      </c>
      <c r="H13" s="15" t="inlineStr">
        <is>
          <t>Spec: perfect — all 3 declarations, correct END. Body: "pkg_team_tools_body" wrong name, uses CREATE OR REPLACE inside body (fundamental error). log_action present but no implementation, no call from print_team_message. Severely incomplete body.</t>
        </is>
      </c>
    </row>
    <row r="14" ht="200" customHeight="1">
      <c r="A14" s="2" t="inlineStr">
        <is>
          <t>Reyna Singh</t>
        </is>
      </c>
      <c r="B14" s="12" t="inlineStr">
        <is>
          <t>CREATE OR REPLACE PACKAGE pkg_team_tools AS
FUNCTION get_team_label(p_team_id IN NUMBER) RETURN VARCHAR2;
PROCEDURE print_team_message(p_team_id IN NUMBER);
FUNCTION count_team_players(p_team_id IN NUMBER) RETURN NUMBER;
END pkg_team_tools;
CREATE OR REPLACE PACKAGE BODY pkg_team_tools AS
PROCEDURE log_action AS 
BEGIN 
NULL;
END log_action;
FUNTION get_team_label(p_team_id IN NUMBER) RETURN VARCHAR2 AS
BEGIN
RETURN NULL;
END get_team_label;
PROCEDURE print_team_message(p_team_id IN NUMBER) AS
BEGIN
log_action;
NULL;
END print_team_message;
FUNCTION count_team_players(p_team__id IN NUMBER) RETURN NUMBER AS
BEGIN
RETURN NULL;
END count_team_players;
END pkg_team_tools;</t>
        </is>
      </c>
      <c r="C14" s="13" t="n">
        <v>4</v>
      </c>
      <c r="D14" s="13" t="n">
        <v>3</v>
      </c>
      <c r="E14" s="13" t="n">
        <v>3</v>
      </c>
      <c r="F14" s="13" t="n">
        <v>2</v>
      </c>
      <c r="G14" s="14">
        <f>SUM(C14:F14)</f>
        <v/>
      </c>
      <c r="H14" s="15" t="inlineStr">
        <is>
          <t>Spec: perfect. Body: log_action private (missing IS, uses AS), FUNTION typo, but all routines present. print_team_message calls log_action. Clean structure.</t>
        </is>
      </c>
    </row>
    <row r="15" ht="200" customHeight="1">
      <c r="A15" s="2" t="inlineStr">
        <is>
          <t>Wayne Wilhelm</t>
        </is>
      </c>
      <c r="B15" s="12" t="inlineStr">
        <is>
          <t>CREATE OR REPLACE PACKAGE pkg_team_tools AS 
FUNCTION get_team_label(p_team_id IN NUMBER) RETURN VARCHAR2;
PROCEDURE print_team_message(p_team_id IN NUMBER);
END pkg_team_tools</t>
        </is>
      </c>
      <c r="C15" s="13" t="n">
        <v>2</v>
      </c>
      <c r="D15" s="13" t="n">
        <v>0</v>
      </c>
      <c r="E15" s="13" t="n">
        <v>0</v>
      </c>
      <c r="F15" s="13" t="n">
        <v>0</v>
      </c>
      <c r="G15" s="14">
        <f>SUM(C15:F15)</f>
        <v/>
      </c>
      <c r="H15" s="15" t="inlineStr">
        <is>
          <t>Spec: has 2 of 3 declarations (missing count_team_players). Missing END semicolon. No body at all.</t>
        </is>
      </c>
    </row>
    <row r="16" ht="200" customHeight="1">
      <c r="A16" s="2" t="inlineStr">
        <is>
          <t>Nicholas Nguyen</t>
        </is>
      </c>
      <c r="B16" s="12" t="inlineStr">
        <is>
          <t>CREATE OR REPLACE PACKAGE pkg_team_tools AS
BEGIN
FUNCTION get_team_label(p_team_id IN NUMBER) RETURN VARCHAR2;
FUNCTION count_team_players(p_team_id IN NUMBER) RETURN NUMBER;
PROCEDURE print_team_message(p_team_id IN NUMBER);
END pkg_team_tools;
CREATE OR REPLACE PACKAGE BODY pkg_team_tools AS
BEGIN
FUNCTION get_team_label (
p_team_id IN NUMBER
) RETURN VARCHAR2 IS
v_team_label
BEGIN
...
END get_team_label;
FUNCTION count_team_players(
p_team_id IN NUMBER
) RETURN NUMBER;
BEGIN
...
END count_team_player
PROCEDURE print_team_message(
p_team_id IN NUMBER) AS
BEGIN
...
END print_team_message;
END pkg_team_tools;</t>
        </is>
      </c>
      <c r="C16" s="13" t="n">
        <v>2</v>
      </c>
      <c r="D16" s="13" t="n">
        <v>1.5</v>
      </c>
      <c r="E16" s="13" t="n">
        <v>0</v>
      </c>
      <c r="F16" s="13" t="n">
        <v>0</v>
      </c>
      <c r="G16" s="14">
        <f>SUM(C16:F16)</f>
        <v/>
      </c>
      <c r="H16" s="15" t="inlineStr">
        <is>
          <t>Spec: has BEGIN inside spec (conceptual error, -1). 3 declarations present. Body: has BEGIN inside body too. Routines attempted with "..." placeholders. No log_action. No call. Uses CREATE OR REPLACE inside body patterns.</t>
        </is>
      </c>
    </row>
    <row r="17" ht="200" customHeight="1">
      <c r="A17" s="2" t="inlineStr">
        <is>
          <t>Anthony Sierra</t>
        </is>
      </c>
      <c r="B17" s="12" t="inlineStr">
        <is>
          <t>--CREATE--
CREATE OR REPLACE PACKAGE BODY pkg_team_tools IS 
--PROCDEURE-- 
PROCEDURE log_action IS 
BEGIN 
      NULL; 
END log_action
--IMPLEMENTATION-- 
FUNCTION get_team_label(p_team_id IN NUMBER) RETURN VARCHAR2 IS 
BEGIN 
       RETURN  NULL; 
END get_team_label; 
--IMPLEMENTATION-- 
PROCEDURE print_team_message(p_team_id IN NUMBER) IS
BEGIN 
  --CALLING-- 
     log_action; 
     NULL; 
END print_team_message;
--FINAL IMPLEMENTATION--- 
FUNCTION count_team_players(p_team_id IN NUMBER) RETURN NUMBER IS  
BEGIN 
RETURN NULL: 
END count_team_players;
END pkg_team_tools;</t>
        </is>
      </c>
      <c r="C17" s="13" t="n">
        <v>0</v>
      </c>
      <c r="D17" s="13" t="n">
        <v>3</v>
      </c>
      <c r="E17" s="13" t="n">
        <v>3</v>
      </c>
      <c r="F17" s="13" t="n">
        <v>2</v>
      </c>
      <c r="G17" s="14">
        <f>SUM(C17:F17)</f>
        <v/>
      </c>
      <c r="H17" s="15" t="inlineStr">
        <is>
          <t>NO SPEC — only package body. Body: correct structure with log_action private first. All 3 routines implemented. print_team_message calls log_action. "RETURN NULL:" colon instead of semicolon. "ID" instead of "END" at end.</t>
        </is>
      </c>
    </row>
    <row r="18" ht="200" customHeight="1">
      <c r="A18" s="2" t="inlineStr">
        <is>
          <t>Ken Tran</t>
        </is>
      </c>
      <c r="B18" s="12" t="inlineStr">
        <is>
          <t>--Specification 
CREATE OR REPLACE PACKAGE pkg_team_tools AS
FUNCTION get_team_label(p_team_id IN NUMBER) RETURN VARCHAR 2;
PROCEDURE print_team_message (p_team_id IN NUMBER);
FUNCTION count_team_players (p_team_id IN NUMBERS) RETURN NUMBER;
END pkg_team_tools;
--Body
CREATE OR REPLACE PACKAGE BODY pkg_team_tools AS
PROCEDURE log_action AS
BEGIN 
     NULL;
END log_action;
FUNCTION get_team_label(p_team_id IN NUMBER) RETURN VARCHAR 2 AS
    BEGIN
         RETURN NULL;
    END get_team_label;
PROCEDURE print_team_message (p_team_id IN NUMBER) AS
BEGIN
     log action;
NULL;
END print_team_message;
FUNCTION count_team_players (p_team_id IN NUMBER) RETURN NUMBER IS
    BEGIN
        RETURN NULL;
   END count_team_players;
END pkg_team_tools;</t>
        </is>
      </c>
      <c r="C18" s="13" t="n">
        <v>3.5</v>
      </c>
      <c r="D18" s="13" t="n">
        <v>3</v>
      </c>
      <c r="E18" s="13" t="n">
        <v>3</v>
      </c>
      <c r="F18" s="13" t="n">
        <v>2</v>
      </c>
      <c r="G18" s="14">
        <f>SUM(C18:F18)</f>
        <v/>
      </c>
      <c r="H18" s="15" t="inlineStr">
        <is>
          <t>Spec: all 3 declarations, "VARCHAR 2" space, "NUMBERS" typo. Body: log_action private. All routines present. "log action" missing underscore in call. Structure correct overall.</t>
        </is>
      </c>
    </row>
    <row r="19" ht="200" customHeight="1">
      <c r="A19" s="2" t="inlineStr">
        <is>
          <t>Dan Brendza</t>
        </is>
      </c>
      <c r="B19" s="12" t="inlineStr">
        <is>
          <t>-- Specification
PACKAGE pkg_team_tools IS
   FUNCTION get_team_label(p_team_id IN NUMBER) RETURN VARCHAR2;
   PROCEDURE print_team_message(p_team_id IN NUMBER);
   FUNCTION count_team_players(p_team_id IN NUMBERS) RETURN NUMBER;
END pkg_team_tools;
-- Body
PACKAGE pkg_team_tools IS
   FUNCTION get_team_label(NULL) RETURN NULL
      BEGIN
      END;
   FUNCTION log_action(NULL) RETURN NULL
      BEGIN
      END;
   PROCEDURE print_team_message(NULL)
      BEGIN
         log_action(NULL);
      END;
   FUNCTION count_team_players(NULL) RETURN NULL
      BEGIN
      END;</t>
        </is>
      </c>
      <c r="C19" s="13" t="n">
        <v>3</v>
      </c>
      <c r="D19" s="13" t="n">
        <v>1</v>
      </c>
      <c r="E19" s="13" t="n">
        <v>1</v>
      </c>
      <c r="F19" s="13" t="n">
        <v>1.5</v>
      </c>
      <c r="G19" s="14">
        <f>SUM(C19:F19)</f>
        <v/>
      </c>
      <c r="H19" s="15" t="inlineStr">
        <is>
          <t>Spec: missing CREATE OR REPLACE, but 3 declarations present, "NUMBERS" typo. Body: uses PACKAGE (not PACKAGE BODY), passes NULL as params which is wrong. log_action declared as FUNCTION not PROCEDURE. print_team_message calls log_action (1.5pt). Structure very rough.</t>
        </is>
      </c>
    </row>
    <row r="20" ht="200" customHeight="1">
      <c r="A20" s="2" t="inlineStr">
        <is>
          <t>Aiden Linderman</t>
        </is>
      </c>
      <c r="B20" s="12" t="inlineStr">
        <is>
          <t>Package Specification
CREATE OR REPLACE PACKAGE pkg_team_tools AS
         FUNCTION get_team_label(p_team_id IN NUMBER)
         RETURN VARCHAR2;
         PROCEDURE print_team_message(p_team_id IN NUMBER)
         ;
         FUNCTION count_team_players(p_team_id IN NUMBER)
         RETURN VARCHAR2;
END pkg_team_tools
Package Body
CREATE OR REPLACE PACKAGE BODY pkg_team_tools AS
         FUNCTION get_team_label(p_team_id IN NUMBER)
            RETURN VARCHAR2 IS
               ;
         BEGIN
             RETURN NULL;
         END get_team_label;
         PROCEDURE print_team_message(p_team_id IN NUMBER)
              IS  v_log
         BEGIN
                v_log := log_action(p_team_id);  
                NULL;
         END print_team_message;
         FUNCTION count_team_players(p_team_id IN NUMBER)
         RETURN VARCHAR2 IS
               NULL;
          BEGIN
                 RETURN NULL;
          END count_team_players;
           CREATE OR REPLACE PROCEDURE log_action() IS
           BEGIN
              NULL;
          END;
END pkg_team_tools;</t>
        </is>
      </c>
      <c r="C20" s="13" t="n">
        <v>3</v>
      </c>
      <c r="D20" s="13" t="n">
        <v>2.5</v>
      </c>
      <c r="E20" s="13" t="n">
        <v>1.5</v>
      </c>
      <c r="F20" s="13" t="n">
        <v>1.5</v>
      </c>
      <c r="G20" s="14">
        <f>SUM(C20:F20)</f>
        <v/>
      </c>
      <c r="H20" s="15" t="inlineStr">
        <is>
          <t>Spec: 3 declarations, count returns VARCHAR2 (wrong type). Missing END semicolon. Body: all routines attempted. log_action placed LAST with CREATE OR REPLACE inside body (wrong placement). print_team_message assigns v_log := log_action — treats it as function. Intent present but execution rough.</t>
        </is>
      </c>
    </row>
    <row r="21" ht="200" customHeight="1">
      <c r="A21" s="2" t="inlineStr">
        <is>
          <t>Kyle Duong</t>
        </is>
      </c>
      <c r="B21" s="12" t="inlineStr">
        <is>
          <t>CREATE PACKAGE pkg_team_tools AS
CREATE OR REPLACE PROCEDURE log_action AS
BEGIN
END;
PROCEDURE print_team_message(p_team_id IN NUMBER);
BEGIN
NULL;
END;
FUNCTION get_team_label(p_team_id IN NUMBER) RETURN VARCHAR2;
BEGIN
RETURN NULL;
END;
FUNCTION count_team_players(p_team_id IN NUMBER) RETURN NUMBER;
BEGIN
RETURN NULL;
END;</t>
        </is>
      </c>
      <c r="C21" s="13" t="n">
        <v>0</v>
      </c>
      <c r="D21" s="13" t="n">
        <v>1</v>
      </c>
      <c r="E21" s="13" t="n">
        <v>0</v>
      </c>
      <c r="F21" s="13" t="n">
        <v>0</v>
      </c>
      <c r="G21" s="14">
        <f>SUM(C21:F21)</f>
        <v/>
      </c>
      <c r="H21" s="15" t="inlineStr">
        <is>
          <t>No spec. Mixes spec/body. CREATE PACKAGE with CREATE OR REPLACE PROCEDURE inside. Has routine names but structure fundamentally wrong. No log_action concept.</t>
        </is>
      </c>
    </row>
    <row r="22" ht="200" customHeight="1">
      <c r="A22" s="2" t="inlineStr">
        <is>
          <t>Nathan Jalandoni</t>
        </is>
      </c>
      <c r="B22" s="12" t="inlineStr">
        <is>
          <t>Pachage Specification:
CREATE OR REPLACE PACKAGE pkgteam _tools IS
     FUNCTION get_team_label(p_team_id IN NUMBER) RETURN VARCHAR2;
     PROCEDURE print_team_message(p_team_id IN NUMBER);
     FUNCTION count_team_players(p_team_id IN NUMBER) RETURN NUMBER;
END pkgteam_tools;
/
Package Body Skeleton:
CREATE OR REPLACE PACKAGE BODY pkgteam_tools IS
     PROCEDURE log_action IS
     BEGIN
          NULL;
     END;
FUNCTION get_team_label(p_team_id IN NUMBER) RETURN VARCHAR2 IS
BEGIN
     RETURN NULL;
END;
PROCEDURE print_team_message(p_team_id IN NUMBER) IS
BEGIN
     log_action;
     NULL;
END;
FUNCTION count_team_players( p_team_id IN NUMBER) RETURN NUMBER IS
BEGIN
     RETURN NULL;
END;
END pkgteam_tools;
/</t>
        </is>
      </c>
      <c r="C22" s="13" t="n">
        <v>3.5</v>
      </c>
      <c r="D22" s="13" t="n">
        <v>3</v>
      </c>
      <c r="E22" s="13" t="n">
        <v>3</v>
      </c>
      <c r="F22" s="13" t="n">
        <v>2</v>
      </c>
      <c r="G22" s="14">
        <f>SUM(C22:F22)</f>
        <v/>
      </c>
      <c r="H22" s="15" t="inlineStr">
        <is>
          <t>Spec: "pkgteam _tools" and "pkgteam_tools" name inconsistencies but all 3 declarations present. Body: log_action private, all routines implemented. print_team_message calls log_action. Minor name typos.</t>
        </is>
      </c>
    </row>
    <row r="23" ht="200" customHeight="1">
      <c r="A23" s="2" t="inlineStr">
        <is>
          <t>Maria Visoso</t>
        </is>
      </c>
      <c r="B23" s="12" t="inlineStr">
        <is>
          <t>CREATE OR REPLACE Package ENROLL IS
FUNCTION get_team_label(p_team_id IN NUMBER) 
RETURN VARCHAR2; 
FUNCTION count_team_players(p_team_id IN NUMBER);
RETUURN NUMBER;
PROCEDURE print_team_messages(p_team_id IN NUMBER); 
END ENROLL; 
/ 
BEGIN 
   Enroll pkg_team_tools;
PROCEDURE log_action(p_team_id IN NUMBER) IS;
IF print_team_message = 0 THEN
p_Error_Text := 'Call Log Action '||p_team_id||' Invalid.';
END IF;
END;</t>
        </is>
      </c>
      <c r="C23" s="13" t="n">
        <v>1.5</v>
      </c>
      <c r="D23" s="13" t="n">
        <v>0</v>
      </c>
      <c r="E23" s="13" t="n">
        <v>0.5</v>
      </c>
      <c r="F23" s="13" t="n">
        <v>0</v>
      </c>
      <c r="G23" s="14">
        <f>SUM(C23:F23)</f>
        <v/>
      </c>
      <c r="H23" s="15" t="inlineStr">
        <is>
          <t>Spec: wrong package name "ENROLL", has 3 declarations but some syntax wrong. Body: garbled — uses BEGIN Enroll pkg_team_tools, log_action present but wrapped in IF logic that makes no sense. No proper body structure.</t>
        </is>
      </c>
    </row>
    <row r="24" ht="200" customHeight="1">
      <c r="A24" s="2" t="inlineStr">
        <is>
          <t>Angelina Nguyen</t>
        </is>
      </c>
      <c r="B24" s="12" t="inlineStr"/>
      <c r="C24" s="13" t="n">
        <v>0</v>
      </c>
      <c r="D24" s="13" t="n">
        <v>0</v>
      </c>
      <c r="E24" s="13" t="n">
        <v>0</v>
      </c>
      <c r="F24" s="13" t="n">
        <v>0</v>
      </c>
      <c r="G24" s="14">
        <f>SUM(C24:F24)</f>
        <v/>
      </c>
      <c r="H24" s="15" t="inlineStr">
        <is>
          <t>Empty submission.</t>
        </is>
      </c>
    </row>
    <row r="25" ht="200" customHeight="1">
      <c r="A25" s="2" t="inlineStr">
        <is>
          <t>Daniela Bribiesca</t>
        </is>
      </c>
      <c r="B25" s="12" t="inlineStr">
        <is>
          <t>create or replace package pkg_team_tools As
FUNCTION get_team_label(p_team_id IN NUMBER) RETURN VARCHAR2;
PROCEDURE print_team_message(p_team_id IN NUMBER);
FUNCTION count_team_players(p_team_id IN NUMBER) RETURN NUMBER;
End pkg_team_tools;
/
Create or replace Package pkg_team_tools as
procedure log_action
Begin 
dbms.output.put_line( team_message || log_action);
Function count_team_players( p_team_id Number) return number as v_id team.team_id%Type;
End;
End pkg_team_tools;
/</t>
        </is>
      </c>
      <c r="C25" s="13" t="n">
        <v>4</v>
      </c>
      <c r="D25" s="13" t="n">
        <v>0.5</v>
      </c>
      <c r="E25" s="13" t="n">
        <v>0</v>
      </c>
      <c r="F25" s="13" t="n">
        <v>0</v>
      </c>
      <c r="G25" s="14">
        <f>SUM(C25:F25)</f>
        <v/>
      </c>
      <c r="H25" s="15" t="inlineStr">
        <is>
          <t>Spec: perfect — correct 3 declarations. Body: uses PACKAGE not PACKAGE BODY, declares log_action as procedure but body is garbled. No proper implementations. No call.</t>
        </is>
      </c>
    </row>
    <row r="26" ht="200" customHeight="1">
      <c r="A26" s="2" t="inlineStr">
        <is>
          <t>Isaiah Sage Auste</t>
        </is>
      </c>
      <c r="B26" s="12" t="inlineStr">
        <is>
          <t>CREATE PACKAGE pkg_team_tools
FUNCTION get_team_label(p_team_id IN NUMBER) RETURN VARCHAR2
PROCEDURE print_team_message(p_team_id IN NUMBER);
FUNCTION count_team_players(p_team_id IN NUMBER) RETURN NUMBER;
END pkg_team_tools;
CREATE PACKAGE BODY pkg_team_tools IS
PROCEDURE log_action IS
BEGIN
NULL;
END;
FUNCTION get_team_label(p_team_id IN NUMBER)
RETURN varchar2
IS
BEGIN
RETURN NULL;
END;
PROCEDURE print_team_message(p_team_id IN NUMBER)
IS
BEGIN
log_action;
NULL;
END;
FUNCTION count_team_players(p_team_id IN NUMBER) IS
RETURN number
IS
BEGIN
RETURN NULL;
END;
END pkg_team_tools</t>
        </is>
      </c>
      <c r="C26" s="13" t="n">
        <v>3</v>
      </c>
      <c r="D26" s="13" t="n">
        <v>2.5</v>
      </c>
      <c r="E26" s="13" t="n">
        <v>3</v>
      </c>
      <c r="F26" s="13" t="n">
        <v>2</v>
      </c>
      <c r="G26" s="14">
        <f>SUM(C26:F26)</f>
        <v/>
      </c>
      <c r="H26" s="15" t="inlineStr">
        <is>
          <t>Spec: missing OR REPLACE, missing AS/IS. 3 declarations present but missing semicolons. Body: log_action private. All routines present. print_team_message calls log_action. Some syntax issues (RETURN number after IS). Missing END pkg_team_tools.</t>
        </is>
      </c>
    </row>
    <row r="27" ht="200" customHeight="1">
      <c r="A27" s="2" t="inlineStr">
        <is>
          <t>Nioni England</t>
        </is>
      </c>
      <c r="B27" s="12" t="inlineStr">
        <is>
          <t>CREATE OR REPLACE PACKAGE BODY pkg_team_tools AS 
FUNCTION get_team_label(p_team_id IN NUMBER) 
PROCEDURE print_team_message(p_team_id IN NUMBER)
FUNCTION count_team_players(p_team_id IN NUMBER)
CREATE OR REPLACE FUNCTION get_team_label(p_team_id IN NUMBER) AS RETURNVARCHAR 2
     BEGIN
   NULL;
END;
 CREATE OR REPLACE PROCEDURE print_team_message(p_team_id IN NUMBER); AS
BEGIN
NULL;
END;
 CREATE OR REPLACE FUNCTION count_team_players(p_team_id IN NUMBER) AS RETURN NUMBER 
BEGIN
NULL;
END;</t>
        </is>
      </c>
      <c r="C27" s="13" t="n">
        <v>0</v>
      </c>
      <c r="D27" s="13" t="n">
        <v>0.5</v>
      </c>
      <c r="E27" s="13" t="n">
        <v>0</v>
      </c>
      <c r="F27" s="13" t="n">
        <v>0</v>
      </c>
      <c r="G27" s="14">
        <f>SUM(C27:F27)</f>
        <v/>
      </c>
      <c r="H27" s="15" t="inlineStr">
        <is>
          <t>No proper spec. Lists declarations as PACKAGE BODY but they are just declarations, not implementations. Creates separate CREATE OR REPLACE for each routine (wrong). No log_action. No call.</t>
        </is>
      </c>
    </row>
    <row r="28" ht="200" customHeight="1">
      <c r="A28" s="2" t="inlineStr">
        <is>
          <t>Vanessa Nguyen</t>
        </is>
      </c>
      <c r="B28" s="12" t="inlineStr">
        <is>
          <t>CREATE OR REPLACE PACKAGE pkg_team_tools AS
   FUNCTION get_team_label(p_team_id IN NUMBER) RETURN VARCHAR2;
   PROCEDURE print_team_message(p_team_id IN NUMBER);
   FUNCTION count_team_players(p_team_id IN NUMBER) RETURN NUMBER;
-- body
CREATE OR REPLACE PACKAGE BODY pkg_team_tools AS
-- private helper
   PROCEDURE log_action(NULL) AS
   BEGIN
   EXCEPTION;
   END log_action;
-- public
   FUNCTION get_team_label(p_team_id IN NUMBER) RETURN VARCHAR2 AS RETURN NULL;
   BEGIN
   EXCEPTION;
   END get_team_label;
   PROCEDURE print_team_message(p_team_id IN NUMBER);
   NULL := pkg_team_tools.log_action(NULL)
   BEGIN
   EXCEPTION;
   END print_team_message;
   FUNCTION count_team_players(p_team_id IN NUMBER) RETURN NUMBER AS RETURN NULL NUMBER;
   BEGIN
   EXCEPTION;
   END count_team_players;
END pkg_team_tools ;
/</t>
        </is>
      </c>
      <c r="C28" s="13" t="n">
        <v>3.5</v>
      </c>
      <c r="D28" s="13" t="n">
        <v>1</v>
      </c>
      <c r="E28" s="13" t="n">
        <v>2</v>
      </c>
      <c r="F28" s="13" t="n">
        <v>1</v>
      </c>
      <c r="G28" s="14">
        <f>SUM(C28:F28)</f>
        <v/>
      </c>
      <c r="H28" s="15" t="inlineStr">
        <is>
          <t>Spec: correct — 3 declarations. Missing END pkg_team_tools. Body: log_action present (private), parameter NULL wrong. Uses EXCEPTION inside every routine (wrong). print_team_message: "NULL := pkg_team_tools.log_action(NULL)" — attempts to call but wrong syntax. Structure very garbled.</t>
        </is>
      </c>
    </row>
    <row r="29" ht="200" customHeight="1">
      <c r="A29" s="2" t="inlineStr">
        <is>
          <t>Carlos Caro</t>
        </is>
      </c>
      <c r="B29" s="12" t="inlineStr"/>
      <c r="C29" s="13" t="n">
        <v>0</v>
      </c>
      <c r="D29" s="13" t="n">
        <v>0</v>
      </c>
      <c r="E29" s="13" t="n">
        <v>0</v>
      </c>
      <c r="F29" s="13" t="n">
        <v>0</v>
      </c>
      <c r="G29" s="14">
        <f>SUM(C29:F29)</f>
        <v/>
      </c>
      <c r="H29" s="15" t="inlineStr">
        <is>
          <t>Empty submission.</t>
        </is>
      </c>
    </row>
    <row r="30" ht="200" customHeight="1">
      <c r="A30" s="2" t="inlineStr">
        <is>
          <t>Ian Kim</t>
        </is>
      </c>
      <c r="B30" s="12" t="inlineStr">
        <is>
          <t>-- SPEC (publie interface - what others can call)
CREATE OR REPLACE PACKAGE pkg_team_tools AS
     FUNCTION get_team_label(p_team_id IN NUMBER) RETURN VARCHAR2; 
     PROCEDURE print_team_message(p_team_id IN NUMBER); 
     FUNCTION count_team_players(p_team_id IN NUMBER) RETURN NUMBER;
END pkg_team_tools; / 
-- BODY (Implementations-can be hidden) 
CREATE OR REPLACE pkg_tools AS 
PROCEDURE log_action (p_team_id NUMBER) AS
BEGIN 
         INSERT INTO print_team_message
         FUNCTION get_team_label(p_team_id IN NUMBER) RETURN VARCHAR2;
END pkg_team_tool; /</t>
        </is>
      </c>
      <c r="C30" s="13" t="n">
        <v>4</v>
      </c>
      <c r="D30" s="13" t="n">
        <v>0.5</v>
      </c>
      <c r="E30" s="13" t="n">
        <v>0.5</v>
      </c>
      <c r="F30" s="13" t="n">
        <v>0</v>
      </c>
      <c r="G30" s="14">
        <f>SUM(C30:F30)</f>
        <v/>
      </c>
      <c r="H30" s="15" t="inlineStr">
        <is>
          <t>Spec: perfect — 3 declarations, correct END. Body: "CREATE OR REPLACE pkg_tools" (wrong name, missing PACKAGE BODY). log_action declared but body has INSERT INTO print_team_message (garbled). No proper implementations. No call.</t>
        </is>
      </c>
    </row>
    <row r="31" ht="200" customHeight="1">
      <c r="A31" s="2" t="inlineStr">
        <is>
          <t>Taylor Lewis</t>
        </is>
      </c>
      <c r="B31" s="12" t="inlineStr">
        <is>
          <t>CREATE OR REPLACE PACKAGE pkg_team_tools AS
     FUNCTION get_team_label(p_team_id IN NUMBER) RETURN VARCHAR2;
     PROCEDURE print_team_message(p_team_id IN NUMBER);     
     FUNCTION count_team_players(p_team_id IN NUMBER) RETURN NUMBER;
END pkg_team_tools; 
CREATE OR REPLACE PACKAGE BODY pkg_team_tools AS 
     FUNCTION get_team_label(p_team_id IN NUMBER) RETURN VARCHAR2;
     BEGIN 
          SELECT</t>
        </is>
      </c>
      <c r="C31" s="13" t="n">
        <v>4</v>
      </c>
      <c r="D31" s="13" t="n">
        <v>0.5</v>
      </c>
      <c r="E31" s="13" t="n">
        <v>0</v>
      </c>
      <c r="F31" s="13" t="n">
        <v>0</v>
      </c>
      <c r="G31" s="14">
        <f>SUM(C31:F31)</f>
        <v/>
      </c>
      <c r="H31" s="15" t="inlineStr">
        <is>
          <t>Spec: perfect — all 3 declarations. Body: starts but only begins get_team_label with SELECT — incomplete. No log_action. No implementations.</t>
        </is>
      </c>
    </row>
    <row r="32" ht="200" customHeight="1">
      <c r="A32" s="2" t="inlineStr">
        <is>
          <t>Ronald Portillo Quinteros</t>
        </is>
      </c>
      <c r="B32" s="12" t="inlineStr">
        <is>
          <t>CREATE OR REPLACE PACKAGE pkg_team AS
VARCHAR 2
PROCEDURE team(p_team_id)
FUNCTION count_team(p_team NUMBER) RETURN NUMBER;
END,</t>
        </is>
      </c>
      <c r="C32" s="13" t="n">
        <v>0.5</v>
      </c>
      <c r="D32" s="13" t="n">
        <v>0</v>
      </c>
      <c r="E32" s="13" t="n">
        <v>0</v>
      </c>
      <c r="F32" s="13" t="n">
        <v>0</v>
      </c>
      <c r="G32" s="14">
        <f>SUM(C32:F32)</f>
        <v/>
      </c>
      <c r="H32" s="15" t="inlineStr">
        <is>
          <t>Barely started: CREATE OR REPLACE PACKAGE, wrong name, some routine names but incomplete. Missing most content.</t>
        </is>
      </c>
    </row>
    <row r="33" ht="200" customHeight="1">
      <c r="A33" s="2" t="inlineStr">
        <is>
          <t>Luis Ibarra</t>
        </is>
      </c>
      <c r="B33" s="12" t="inlineStr">
        <is>
          <t>Specification
CREATE OR REPLACE PACKAGE pkg_team AS
  FUNCTION get_team_label(p_team_id IN NUMBER) RETURN VARCHAR2;
  PROCEDURE print_team_message(p_team_id IN NUMBER);
  FUNCTION count_team_players(p_team_id IN NUMBER) RETURN NUMBER;
END pkg_team;
/
Body
CREATE OR REPLACE PACKAGE BODY pkg_team AS
  PROCEDURE log_action(print_team_message VARCHAR2)
  IS
  BEGIN
  NULL
END;
  FUNCTION get_team_label(p_team_id IN NUMBER) RETURN VARCHAR2;
  IS
  BEGIN
  RETURN NULL
END;
  PROCEDURE print_team_message(p_team_id IN NUMBER);
  IS
  BEGIN
  NULL
END;
  FUNCTION count_team_players(p_team_id IN NUMBER) RETURN NUMBER;
  IS
  BEGIN
  RETURN NULL
END;
END pkg_team;
/</t>
        </is>
      </c>
      <c r="C33" s="13" t="n">
        <v>3</v>
      </c>
      <c r="D33" s="13" t="n">
        <v>2</v>
      </c>
      <c r="E33" s="13" t="n">
        <v>2</v>
      </c>
      <c r="F33" s="13" t="n">
        <v>0</v>
      </c>
      <c r="G33" s="14">
        <f>SUM(C33:F33)</f>
        <v/>
      </c>
      <c r="H33" s="15" t="inlineStr">
        <is>
          <t>Spec: wrong name "pkg_team" but 3 declarations present. Body: log_action has wrong param (print_team_message VARCHAR2). All routines listed but with semicolons after headers (wrong — should have IS/AS). Missing NULL/RETURN NULL in bodies. No call from print_team_message to log_action.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Student Name</t>
        </is>
      </c>
      <c r="B1" s="1" t="inlineStr">
        <is>
          <t>Q1 (4 pts)</t>
        </is>
      </c>
      <c r="C1" s="1" t="inlineStr">
        <is>
          <t>Q2 (4 pts)</t>
        </is>
      </c>
      <c r="D1" s="1" t="inlineStr">
        <is>
          <t>Q3 (4 pts)</t>
        </is>
      </c>
      <c r="E1" s="1" t="inlineStr">
        <is>
          <t>Q4 (4 pts)</t>
        </is>
      </c>
      <c r="F1" s="1" t="inlineStr">
        <is>
          <t>Q5 (4 pts)</t>
        </is>
      </c>
      <c r="G1" s="1" t="inlineStr">
        <is>
          <t>Q6 (4 pts)</t>
        </is>
      </c>
      <c r="H1" s="1" t="inlineStr">
        <is>
          <t>Q7 (4 pts)</t>
        </is>
      </c>
      <c r="I1" s="1" t="inlineStr">
        <is>
          <t>Q8 (4 pts)</t>
        </is>
      </c>
      <c r="J1" s="1" t="inlineStr">
        <is>
          <t>Q9 (4 pts)</t>
        </is>
      </c>
      <c r="K1" s="1" t="inlineStr">
        <is>
          <t>Q10 (4 pts)</t>
        </is>
      </c>
      <c r="L1" s="1" t="inlineStr">
        <is>
          <t>Q15_cursor (4 pts)</t>
        </is>
      </c>
      <c r="M1" s="1" t="inlineStr">
        <is>
          <t>Q16_raise (4 pts)</t>
        </is>
      </c>
      <c r="N1" s="1" t="inlineStr">
        <is>
          <t>MC Total (48)</t>
        </is>
      </c>
    </row>
    <row r="2">
      <c r="A2" s="2" t="inlineStr">
        <is>
          <t>Melaud Shalikar</t>
        </is>
      </c>
      <c r="B2" s="14" t="n">
        <v>4</v>
      </c>
      <c r="C2" s="14" t="n">
        <v>4</v>
      </c>
      <c r="D2" s="14" t="n">
        <v>4</v>
      </c>
      <c r="E2" s="14" t="n">
        <v>4</v>
      </c>
      <c r="F2" s="14" t="n">
        <v>4</v>
      </c>
      <c r="G2" s="14" t="n">
        <v>4</v>
      </c>
      <c r="H2" s="14" t="n">
        <v>4</v>
      </c>
      <c r="I2" s="14" t="n">
        <v>4</v>
      </c>
      <c r="J2" s="14" t="n">
        <v>4</v>
      </c>
      <c r="K2" s="14" t="n">
        <v>4</v>
      </c>
      <c r="L2" s="14" t="n">
        <v>4</v>
      </c>
      <c r="M2" s="14" t="n">
        <v>4</v>
      </c>
      <c r="N2" s="16" t="n">
        <v>48</v>
      </c>
    </row>
    <row r="3">
      <c r="A3" s="2" t="inlineStr">
        <is>
          <t>Alyssa Kathryn Espino</t>
        </is>
      </c>
      <c r="B3" s="14" t="n">
        <v>4</v>
      </c>
      <c r="C3" s="14" t="n">
        <v>4</v>
      </c>
      <c r="D3" s="14" t="n">
        <v>4</v>
      </c>
      <c r="E3" s="14" t="n">
        <v>4</v>
      </c>
      <c r="F3" s="14" t="n">
        <v>4</v>
      </c>
      <c r="G3" s="14" t="n">
        <v>4</v>
      </c>
      <c r="H3" s="14" t="n">
        <v>4</v>
      </c>
      <c r="I3" s="14" t="n">
        <v>4</v>
      </c>
      <c r="J3" s="14" t="n">
        <v>4</v>
      </c>
      <c r="K3" s="14" t="n">
        <v>4</v>
      </c>
      <c r="L3" s="14" t="n">
        <v>4</v>
      </c>
      <c r="M3" s="14" t="n">
        <v>4</v>
      </c>
      <c r="N3" s="16" t="n">
        <v>48</v>
      </c>
    </row>
    <row r="4">
      <c r="A4" s="2" t="inlineStr">
        <is>
          <t>Alexis Garcia</t>
        </is>
      </c>
      <c r="B4" s="17" t="n">
        <v>0</v>
      </c>
      <c r="C4" s="3" t="n">
        <v>1.333333333333333</v>
      </c>
      <c r="D4" s="17" t="n">
        <v>0</v>
      </c>
      <c r="E4" s="14" t="n">
        <v>4</v>
      </c>
      <c r="F4" s="14" t="n">
        <v>4</v>
      </c>
      <c r="G4" s="14" t="n">
        <v>4</v>
      </c>
      <c r="H4" s="14" t="n">
        <v>4</v>
      </c>
      <c r="I4" s="14" t="n">
        <v>4</v>
      </c>
      <c r="J4" s="14" t="n">
        <v>4</v>
      </c>
      <c r="K4" s="14" t="n">
        <v>4</v>
      </c>
      <c r="L4" s="17" t="n">
        <v>0</v>
      </c>
      <c r="M4" s="14" t="n">
        <v>4</v>
      </c>
      <c r="N4" s="16" t="n">
        <v>33.33333333333333</v>
      </c>
    </row>
    <row r="5">
      <c r="A5" s="2" t="inlineStr">
        <is>
          <t>Taylor Gensler</t>
        </is>
      </c>
      <c r="B5" s="14" t="n">
        <v>4</v>
      </c>
      <c r="C5" s="14" t="n">
        <v>4</v>
      </c>
      <c r="D5" s="17" t="n">
        <v>0</v>
      </c>
      <c r="E5" s="14" t="n">
        <v>4</v>
      </c>
      <c r="F5" s="17" t="n">
        <v>0</v>
      </c>
      <c r="G5" s="14" t="n">
        <v>4</v>
      </c>
      <c r="H5" s="14" t="n">
        <v>4</v>
      </c>
      <c r="I5" s="17" t="n">
        <v>0</v>
      </c>
      <c r="J5" s="14" t="n">
        <v>4</v>
      </c>
      <c r="K5" s="3" t="n">
        <v>1.333333333333333</v>
      </c>
      <c r="L5" s="14" t="n">
        <v>4</v>
      </c>
      <c r="M5" s="17" t="n">
        <v>0</v>
      </c>
      <c r="N5" s="16" t="n">
        <v>29.33333333333333</v>
      </c>
    </row>
    <row r="6">
      <c r="A6" s="2" t="inlineStr">
        <is>
          <t>Joey Ha</t>
        </is>
      </c>
      <c r="B6" s="14" t="n">
        <v>4</v>
      </c>
      <c r="C6" s="3" t="n">
        <v>2.666666666666667</v>
      </c>
      <c r="D6" s="14" t="n">
        <v>4</v>
      </c>
      <c r="E6" s="14" t="n">
        <v>4</v>
      </c>
      <c r="F6" s="14" t="n">
        <v>4</v>
      </c>
      <c r="G6" s="14" t="n">
        <v>4</v>
      </c>
      <c r="H6" s="14" t="n">
        <v>4</v>
      </c>
      <c r="I6" s="14" t="n">
        <v>4</v>
      </c>
      <c r="J6" s="14" t="n">
        <v>4</v>
      </c>
      <c r="K6" s="14" t="n">
        <v>4</v>
      </c>
      <c r="L6" s="14" t="n">
        <v>4</v>
      </c>
      <c r="M6" s="14" t="n">
        <v>4</v>
      </c>
      <c r="N6" s="16" t="n">
        <v>46.66666666666666</v>
      </c>
    </row>
    <row r="7">
      <c r="A7" s="2" t="inlineStr">
        <is>
          <t>Nathan Hoang</t>
        </is>
      </c>
      <c r="B7" s="14" t="n">
        <v>4</v>
      </c>
      <c r="C7" s="14" t="n">
        <v>4</v>
      </c>
      <c r="D7" s="14" t="n">
        <v>4</v>
      </c>
      <c r="E7" s="14" t="n">
        <v>4</v>
      </c>
      <c r="F7" s="14" t="n">
        <v>4</v>
      </c>
      <c r="G7" s="14" t="n">
        <v>4</v>
      </c>
      <c r="H7" s="14" t="n">
        <v>4</v>
      </c>
      <c r="I7" s="14" t="n">
        <v>4</v>
      </c>
      <c r="J7" s="14" t="n">
        <v>4</v>
      </c>
      <c r="K7" s="14" t="n">
        <v>4</v>
      </c>
      <c r="L7" s="14" t="n">
        <v>4</v>
      </c>
      <c r="M7" s="14" t="n">
        <v>4</v>
      </c>
      <c r="N7" s="16" t="n">
        <v>48</v>
      </c>
    </row>
    <row r="8">
      <c r="A8" s="2" t="inlineStr">
        <is>
          <t>Himanshu Ladole</t>
        </is>
      </c>
      <c r="B8" s="14" t="n">
        <v>4</v>
      </c>
      <c r="C8" s="14" t="n">
        <v>4</v>
      </c>
      <c r="D8" s="14" t="n">
        <v>4</v>
      </c>
      <c r="E8" s="14" t="n">
        <v>4</v>
      </c>
      <c r="F8" s="14" t="n">
        <v>4</v>
      </c>
      <c r="G8" s="14" t="n">
        <v>4</v>
      </c>
      <c r="H8" s="14" t="n">
        <v>4</v>
      </c>
      <c r="I8" s="14" t="n">
        <v>4</v>
      </c>
      <c r="J8" s="14" t="n">
        <v>4</v>
      </c>
      <c r="K8" s="17" t="n">
        <v>0</v>
      </c>
      <c r="L8" s="14" t="n">
        <v>4</v>
      </c>
      <c r="M8" s="14" t="n">
        <v>4</v>
      </c>
      <c r="N8" s="16" t="n">
        <v>44</v>
      </c>
    </row>
    <row r="9">
      <c r="A9" s="2" t="inlineStr">
        <is>
          <t>Sydney Mendez</t>
        </is>
      </c>
      <c r="B9" s="17" t="n">
        <v>0</v>
      </c>
      <c r="C9" s="3" t="n">
        <v>1.333333333333333</v>
      </c>
      <c r="D9" s="17" t="n">
        <v>0</v>
      </c>
      <c r="E9" s="14" t="n">
        <v>4</v>
      </c>
      <c r="F9" s="14" t="n">
        <v>4</v>
      </c>
      <c r="G9" s="14" t="n">
        <v>4</v>
      </c>
      <c r="H9" s="14" t="n">
        <v>4</v>
      </c>
      <c r="I9" s="14" t="n">
        <v>4</v>
      </c>
      <c r="J9" s="17" t="n">
        <v>0</v>
      </c>
      <c r="K9" s="17" t="n">
        <v>0</v>
      </c>
      <c r="L9" s="14" t="n">
        <v>4</v>
      </c>
      <c r="M9" s="14" t="n">
        <v>4</v>
      </c>
      <c r="N9" s="16" t="n">
        <v>29.33333333333333</v>
      </c>
    </row>
    <row r="10">
      <c r="A10" s="2" t="inlineStr">
        <is>
          <t>Celest Moreira</t>
        </is>
      </c>
      <c r="B10" s="14" t="n">
        <v>4</v>
      </c>
      <c r="C10" s="14" t="n">
        <v>4</v>
      </c>
      <c r="D10" s="14" t="n">
        <v>4</v>
      </c>
      <c r="E10" s="14" t="n">
        <v>4</v>
      </c>
      <c r="F10" s="14" t="n">
        <v>4</v>
      </c>
      <c r="G10" s="14" t="n">
        <v>4</v>
      </c>
      <c r="H10" s="14" t="n">
        <v>4</v>
      </c>
      <c r="I10" s="14" t="n">
        <v>4</v>
      </c>
      <c r="J10" s="14" t="n">
        <v>4</v>
      </c>
      <c r="K10" s="14" t="n">
        <v>4</v>
      </c>
      <c r="L10" s="14" t="n">
        <v>4</v>
      </c>
      <c r="M10" s="14" t="n">
        <v>4</v>
      </c>
      <c r="N10" s="16" t="n">
        <v>48</v>
      </c>
    </row>
    <row r="11">
      <c r="A11" s="2" t="inlineStr">
        <is>
          <t>Michael Nguyen</t>
        </is>
      </c>
      <c r="B11" s="14" t="n">
        <v>4</v>
      </c>
      <c r="C11" s="14" t="n">
        <v>4</v>
      </c>
      <c r="D11" s="14" t="n">
        <v>4</v>
      </c>
      <c r="E11" s="14" t="n">
        <v>4</v>
      </c>
      <c r="F11" s="14" t="n">
        <v>4</v>
      </c>
      <c r="G11" s="14" t="n">
        <v>4</v>
      </c>
      <c r="H11" s="14" t="n">
        <v>4</v>
      </c>
      <c r="I11" s="14" t="n">
        <v>4</v>
      </c>
      <c r="J11" s="14" t="n">
        <v>4</v>
      </c>
      <c r="K11" s="14" t="n">
        <v>4</v>
      </c>
      <c r="L11" s="14" t="n">
        <v>4</v>
      </c>
      <c r="M11" s="14" t="n">
        <v>4</v>
      </c>
      <c r="N11" s="16" t="n">
        <v>48</v>
      </c>
    </row>
    <row r="12">
      <c r="A12" s="2" t="inlineStr">
        <is>
          <t>Thuy Tien Nguyen</t>
        </is>
      </c>
      <c r="B12" s="14" t="n">
        <v>4</v>
      </c>
      <c r="C12" s="3" t="n">
        <v>2.666666666666667</v>
      </c>
      <c r="D12" s="14" t="n">
        <v>4</v>
      </c>
      <c r="E12" s="14" t="n">
        <v>4</v>
      </c>
      <c r="F12" s="14" t="n">
        <v>4</v>
      </c>
      <c r="G12" s="14" t="n">
        <v>4</v>
      </c>
      <c r="H12" s="14" t="n">
        <v>4</v>
      </c>
      <c r="I12" s="14" t="n">
        <v>4</v>
      </c>
      <c r="J12" s="14" t="n">
        <v>4</v>
      </c>
      <c r="K12" s="14" t="n">
        <v>4</v>
      </c>
      <c r="L12" s="14" t="n">
        <v>4</v>
      </c>
      <c r="M12" s="14" t="n">
        <v>4</v>
      </c>
      <c r="N12" s="16" t="n">
        <v>46.66666666666666</v>
      </c>
    </row>
    <row r="13">
      <c r="A13" s="2" t="inlineStr">
        <is>
          <t>Reyna Singh</t>
        </is>
      </c>
      <c r="B13" s="14" t="n">
        <v>4</v>
      </c>
      <c r="C13" s="14" t="n">
        <v>4</v>
      </c>
      <c r="D13" s="14" t="n">
        <v>4</v>
      </c>
      <c r="E13" s="14" t="n">
        <v>4</v>
      </c>
      <c r="F13" s="14" t="n">
        <v>4</v>
      </c>
      <c r="G13" s="14" t="n">
        <v>4</v>
      </c>
      <c r="H13" s="14" t="n">
        <v>4</v>
      </c>
      <c r="I13" s="14" t="n">
        <v>4</v>
      </c>
      <c r="J13" s="14" t="n">
        <v>4</v>
      </c>
      <c r="K13" s="14" t="n">
        <v>4</v>
      </c>
      <c r="L13" s="14" t="n">
        <v>4</v>
      </c>
      <c r="M13" s="14" t="n">
        <v>4</v>
      </c>
      <c r="N13" s="16" t="n">
        <v>48</v>
      </c>
    </row>
    <row r="14">
      <c r="A14" s="2" t="inlineStr">
        <is>
          <t>Wayne Wilhelm</t>
        </is>
      </c>
      <c r="B14" s="17" t="n">
        <v>0</v>
      </c>
      <c r="C14" s="14" t="n">
        <v>4</v>
      </c>
      <c r="D14" s="17" t="n">
        <v>0</v>
      </c>
      <c r="E14" s="14" t="n">
        <v>4</v>
      </c>
      <c r="F14" s="17" t="n">
        <v>0</v>
      </c>
      <c r="G14" s="14" t="n">
        <v>4</v>
      </c>
      <c r="H14" s="14" t="n">
        <v>4</v>
      </c>
      <c r="I14" s="14" t="n">
        <v>4</v>
      </c>
      <c r="J14" s="14" t="n">
        <v>4</v>
      </c>
      <c r="K14" s="17" t="n">
        <v>0</v>
      </c>
      <c r="L14" s="17" t="n">
        <v>0</v>
      </c>
      <c r="M14" s="14" t="n">
        <v>4</v>
      </c>
      <c r="N14" s="16" t="n">
        <v>28</v>
      </c>
    </row>
    <row r="15">
      <c r="A15" s="2" t="inlineStr">
        <is>
          <t>Nicholas Nguyen</t>
        </is>
      </c>
      <c r="B15" s="14" t="n">
        <v>4</v>
      </c>
      <c r="C15" s="3" t="n">
        <v>2.666666666666667</v>
      </c>
      <c r="D15" s="14" t="n">
        <v>4</v>
      </c>
      <c r="E15" s="14" t="n">
        <v>4</v>
      </c>
      <c r="F15" s="17" t="n">
        <v>0</v>
      </c>
      <c r="G15" s="14" t="n">
        <v>4</v>
      </c>
      <c r="H15" s="14" t="n">
        <v>4</v>
      </c>
      <c r="I15" s="14" t="n">
        <v>4</v>
      </c>
      <c r="J15" s="14" t="n">
        <v>4</v>
      </c>
      <c r="K15" s="14" t="n">
        <v>4</v>
      </c>
      <c r="L15" s="14" t="n">
        <v>4</v>
      </c>
      <c r="M15" s="14" t="n">
        <v>4</v>
      </c>
      <c r="N15" s="16" t="n">
        <v>42.66666666666666</v>
      </c>
    </row>
    <row r="16">
      <c r="A16" s="2" t="inlineStr">
        <is>
          <t>Anthony Sierra</t>
        </is>
      </c>
      <c r="B16" s="14" t="n">
        <v>4</v>
      </c>
      <c r="C16" s="14" t="n">
        <v>4</v>
      </c>
      <c r="D16" s="14" t="n">
        <v>4</v>
      </c>
      <c r="E16" s="14" t="n">
        <v>4</v>
      </c>
      <c r="F16" s="14" t="n">
        <v>4</v>
      </c>
      <c r="G16" s="14" t="n">
        <v>4</v>
      </c>
      <c r="H16" s="14" t="n">
        <v>4</v>
      </c>
      <c r="I16" s="14" t="n">
        <v>4</v>
      </c>
      <c r="J16" s="14" t="n">
        <v>4</v>
      </c>
      <c r="K16" s="14" t="n">
        <v>4</v>
      </c>
      <c r="L16" s="14" t="n">
        <v>4</v>
      </c>
      <c r="M16" s="14" t="n">
        <v>4</v>
      </c>
      <c r="N16" s="16" t="n">
        <v>48</v>
      </c>
    </row>
    <row r="17">
      <c r="A17" s="2" t="inlineStr">
        <is>
          <t>Ken Tran</t>
        </is>
      </c>
      <c r="B17" s="14" t="n">
        <v>4</v>
      </c>
      <c r="C17" s="14" t="n">
        <v>4</v>
      </c>
      <c r="D17" s="14" t="n">
        <v>4</v>
      </c>
      <c r="E17" s="14" t="n">
        <v>4</v>
      </c>
      <c r="F17" s="14" t="n">
        <v>4</v>
      </c>
      <c r="G17" s="14" t="n">
        <v>4</v>
      </c>
      <c r="H17" s="14" t="n">
        <v>4</v>
      </c>
      <c r="I17" s="14" t="n">
        <v>4</v>
      </c>
      <c r="J17" s="14" t="n">
        <v>4</v>
      </c>
      <c r="K17" s="14" t="n">
        <v>4</v>
      </c>
      <c r="L17" s="14" t="n">
        <v>4</v>
      </c>
      <c r="M17" s="14" t="n">
        <v>4</v>
      </c>
      <c r="N17" s="16" t="n">
        <v>48</v>
      </c>
    </row>
    <row r="18">
      <c r="A18" s="2" t="inlineStr">
        <is>
          <t>Dan Brendza</t>
        </is>
      </c>
      <c r="B18" s="14" t="n">
        <v>4</v>
      </c>
      <c r="C18" s="3" t="n">
        <v>2.666666666666667</v>
      </c>
      <c r="D18" s="14" t="n">
        <v>4</v>
      </c>
      <c r="E18" s="14" t="n">
        <v>4</v>
      </c>
      <c r="F18" s="14" t="n">
        <v>4</v>
      </c>
      <c r="G18" s="14" t="n">
        <v>4</v>
      </c>
      <c r="H18" s="14" t="n">
        <v>4</v>
      </c>
      <c r="I18" s="14" t="n">
        <v>4</v>
      </c>
      <c r="J18" s="14" t="n">
        <v>4</v>
      </c>
      <c r="K18" s="14" t="n">
        <v>4</v>
      </c>
      <c r="L18" s="14" t="n">
        <v>4</v>
      </c>
      <c r="M18" s="14" t="n">
        <v>4</v>
      </c>
      <c r="N18" s="16" t="n">
        <v>46.66666666666666</v>
      </c>
    </row>
    <row r="19">
      <c r="A19" s="2" t="inlineStr">
        <is>
          <t>Aiden Linderman</t>
        </is>
      </c>
      <c r="B19" s="14" t="n">
        <v>4</v>
      </c>
      <c r="C19" s="14" t="n">
        <v>4</v>
      </c>
      <c r="D19" s="14" t="n">
        <v>4</v>
      </c>
      <c r="E19" s="14" t="n">
        <v>4</v>
      </c>
      <c r="F19" s="14" t="n">
        <v>4</v>
      </c>
      <c r="G19" s="14" t="n">
        <v>4</v>
      </c>
      <c r="H19" s="14" t="n">
        <v>4</v>
      </c>
      <c r="I19" s="14" t="n">
        <v>4</v>
      </c>
      <c r="J19" s="14" t="n">
        <v>4</v>
      </c>
      <c r="K19" s="14" t="n">
        <v>4</v>
      </c>
      <c r="L19" s="14" t="n">
        <v>4</v>
      </c>
      <c r="M19" s="14" t="n">
        <v>4</v>
      </c>
      <c r="N19" s="16" t="n">
        <v>48</v>
      </c>
    </row>
    <row r="20">
      <c r="A20" s="2" t="inlineStr">
        <is>
          <t>Kyle Duong</t>
        </is>
      </c>
      <c r="B20" s="14" t="n">
        <v>4</v>
      </c>
      <c r="C20" s="17" t="n">
        <v>0</v>
      </c>
      <c r="D20" s="17" t="n">
        <v>0</v>
      </c>
      <c r="E20" s="14" t="n">
        <v>4</v>
      </c>
      <c r="F20" s="14" t="n">
        <v>4</v>
      </c>
      <c r="G20" s="14" t="n">
        <v>4</v>
      </c>
      <c r="H20" s="14" t="n">
        <v>4</v>
      </c>
      <c r="I20" s="14" t="n">
        <v>4</v>
      </c>
      <c r="J20" s="14" t="n">
        <v>4</v>
      </c>
      <c r="K20" s="17" t="n">
        <v>0</v>
      </c>
      <c r="L20" s="14" t="n">
        <v>4</v>
      </c>
      <c r="M20" s="14" t="n">
        <v>4</v>
      </c>
      <c r="N20" s="16" t="n">
        <v>36</v>
      </c>
    </row>
    <row r="21">
      <c r="A21" s="2" t="inlineStr">
        <is>
          <t>Nathan Jalandoni</t>
        </is>
      </c>
      <c r="B21" s="14" t="n">
        <v>4</v>
      </c>
      <c r="C21" s="14" t="n">
        <v>4</v>
      </c>
      <c r="D21" s="14" t="n">
        <v>4</v>
      </c>
      <c r="E21" s="14" t="n">
        <v>4</v>
      </c>
      <c r="F21" s="14" t="n">
        <v>4</v>
      </c>
      <c r="G21" s="14" t="n">
        <v>4</v>
      </c>
      <c r="H21" s="14" t="n">
        <v>4</v>
      </c>
      <c r="I21" s="14" t="n">
        <v>4</v>
      </c>
      <c r="J21" s="14" t="n">
        <v>4</v>
      </c>
      <c r="K21" s="14" t="n">
        <v>4</v>
      </c>
      <c r="L21" s="14" t="n">
        <v>4</v>
      </c>
      <c r="M21" s="14" t="n">
        <v>4</v>
      </c>
      <c r="N21" s="16" t="n">
        <v>48</v>
      </c>
    </row>
    <row r="22">
      <c r="A22" s="2" t="inlineStr">
        <is>
          <t>Maria Visoso</t>
        </is>
      </c>
      <c r="B22" s="14" t="n">
        <v>4</v>
      </c>
      <c r="C22" s="14" t="n">
        <v>4</v>
      </c>
      <c r="D22" s="17" t="n">
        <v>0</v>
      </c>
      <c r="E22" s="14" t="n">
        <v>4</v>
      </c>
      <c r="F22" s="17" t="n">
        <v>0</v>
      </c>
      <c r="G22" s="14" t="n">
        <v>4</v>
      </c>
      <c r="H22" s="14" t="n">
        <v>4</v>
      </c>
      <c r="I22" s="14" t="n">
        <v>4</v>
      </c>
      <c r="J22" s="14" t="n">
        <v>4</v>
      </c>
      <c r="K22" s="3" t="n">
        <v>2.666666666666667</v>
      </c>
      <c r="L22" s="17" t="n">
        <v>0</v>
      </c>
      <c r="M22" s="14" t="n">
        <v>4</v>
      </c>
      <c r="N22" s="16" t="n">
        <v>34.66666666666667</v>
      </c>
    </row>
    <row r="23">
      <c r="A23" s="2" t="inlineStr">
        <is>
          <t>Angelina Nguyen</t>
        </is>
      </c>
      <c r="B23" s="14" t="n">
        <v>4</v>
      </c>
      <c r="C23" s="3" t="n">
        <v>1.333333333333333</v>
      </c>
      <c r="D23" s="14" t="n">
        <v>4</v>
      </c>
      <c r="E23" s="14" t="n">
        <v>4</v>
      </c>
      <c r="F23" s="17" t="n">
        <v>0</v>
      </c>
      <c r="G23" s="14" t="n">
        <v>4</v>
      </c>
      <c r="H23" s="14" t="n">
        <v>4</v>
      </c>
      <c r="I23" s="14" t="n">
        <v>4</v>
      </c>
      <c r="J23" s="14" t="n">
        <v>4</v>
      </c>
      <c r="K23" s="14" t="n">
        <v>4</v>
      </c>
      <c r="L23" s="14" t="n">
        <v>4</v>
      </c>
      <c r="M23" s="14" t="n">
        <v>4</v>
      </c>
      <c r="N23" s="16" t="n">
        <v>41.33333333333333</v>
      </c>
    </row>
    <row r="24">
      <c r="A24" s="2" t="inlineStr">
        <is>
          <t>Daniela Bribiesca</t>
        </is>
      </c>
      <c r="B24" s="14" t="n">
        <v>4</v>
      </c>
      <c r="C24" s="3" t="n">
        <v>1.333333333333333</v>
      </c>
      <c r="D24" s="14" t="n">
        <v>4</v>
      </c>
      <c r="E24" s="14" t="n">
        <v>4</v>
      </c>
      <c r="F24" s="14" t="n">
        <v>4</v>
      </c>
      <c r="G24" s="14" t="n">
        <v>4</v>
      </c>
      <c r="H24" s="17" t="n">
        <v>0</v>
      </c>
      <c r="I24" s="14" t="n">
        <v>4</v>
      </c>
      <c r="J24" s="14" t="n">
        <v>4</v>
      </c>
      <c r="K24" s="17" t="n">
        <v>0</v>
      </c>
      <c r="L24" s="14" t="n">
        <v>4</v>
      </c>
      <c r="M24" s="14" t="n">
        <v>4</v>
      </c>
      <c r="N24" s="16" t="n">
        <v>37.33333333333333</v>
      </c>
    </row>
    <row r="25">
      <c r="A25" s="2" t="inlineStr">
        <is>
          <t>Isaiah Sage Auste</t>
        </is>
      </c>
      <c r="B25" s="14" t="n">
        <v>4</v>
      </c>
      <c r="C25" s="14" t="n">
        <v>4</v>
      </c>
      <c r="D25" s="14" t="n">
        <v>4</v>
      </c>
      <c r="E25" s="14" t="n">
        <v>4</v>
      </c>
      <c r="F25" s="14" t="n">
        <v>4</v>
      </c>
      <c r="G25" s="14" t="n">
        <v>4</v>
      </c>
      <c r="H25" s="14" t="n">
        <v>4</v>
      </c>
      <c r="I25" s="14" t="n">
        <v>4</v>
      </c>
      <c r="J25" s="14" t="n">
        <v>4</v>
      </c>
      <c r="K25" s="14" t="n">
        <v>4</v>
      </c>
      <c r="L25" s="14" t="n">
        <v>4</v>
      </c>
      <c r="M25" s="14" t="n">
        <v>4</v>
      </c>
      <c r="N25" s="16" t="n">
        <v>48</v>
      </c>
    </row>
    <row r="26">
      <c r="A26" s="2" t="inlineStr">
        <is>
          <t>Nioni England</t>
        </is>
      </c>
      <c r="B26" s="14" t="n">
        <v>4</v>
      </c>
      <c r="C26" s="3" t="n">
        <v>2.666666666666667</v>
      </c>
      <c r="D26" s="17" t="n">
        <v>0</v>
      </c>
      <c r="E26" s="14" t="n">
        <v>4</v>
      </c>
      <c r="F26" s="17" t="n">
        <v>0</v>
      </c>
      <c r="G26" s="14" t="n">
        <v>4</v>
      </c>
      <c r="H26" s="14" t="n">
        <v>4</v>
      </c>
      <c r="I26" s="14" t="n">
        <v>4</v>
      </c>
      <c r="J26" s="14" t="n">
        <v>4</v>
      </c>
      <c r="K26" s="3" t="n">
        <v>2.666666666666667</v>
      </c>
      <c r="L26" s="14" t="n">
        <v>4</v>
      </c>
      <c r="M26" s="14" t="n">
        <v>4</v>
      </c>
      <c r="N26" s="16" t="n">
        <v>37.33333333333333</v>
      </c>
    </row>
    <row r="27">
      <c r="A27" s="2" t="inlineStr">
        <is>
          <t>Vanessa Nguyen</t>
        </is>
      </c>
      <c r="B27" s="14" t="n">
        <v>4</v>
      </c>
      <c r="C27" s="14" t="n">
        <v>4</v>
      </c>
      <c r="D27" s="14" t="n">
        <v>4</v>
      </c>
      <c r="E27" s="14" t="n">
        <v>4</v>
      </c>
      <c r="F27" s="14" t="n">
        <v>4</v>
      </c>
      <c r="G27" s="14" t="n">
        <v>4</v>
      </c>
      <c r="H27" s="14" t="n">
        <v>4</v>
      </c>
      <c r="I27" s="14" t="n">
        <v>4</v>
      </c>
      <c r="J27" s="17" t="n">
        <v>0</v>
      </c>
      <c r="K27" s="14" t="n">
        <v>4</v>
      </c>
      <c r="L27" s="14" t="n">
        <v>4</v>
      </c>
      <c r="M27" s="14" t="n">
        <v>4</v>
      </c>
      <c r="N27" s="16" t="n">
        <v>44</v>
      </c>
    </row>
    <row r="28">
      <c r="A28" s="2" t="inlineStr">
        <is>
          <t>Carlos Caro</t>
        </is>
      </c>
      <c r="B28" s="14" t="n">
        <v>4</v>
      </c>
      <c r="C28" s="3" t="n">
        <v>1.333333333333333</v>
      </c>
      <c r="D28" s="14" t="n">
        <v>4</v>
      </c>
      <c r="E28" s="14" t="n">
        <v>4</v>
      </c>
      <c r="F28" s="14" t="n">
        <v>4</v>
      </c>
      <c r="G28" s="14" t="n">
        <v>4</v>
      </c>
      <c r="H28" s="14" t="n">
        <v>4</v>
      </c>
      <c r="I28" s="14" t="n">
        <v>4</v>
      </c>
      <c r="J28" s="14" t="n">
        <v>4</v>
      </c>
      <c r="K28" s="17" t="n">
        <v>0</v>
      </c>
      <c r="L28" s="14" t="n">
        <v>4</v>
      </c>
      <c r="M28" s="14" t="n">
        <v>4</v>
      </c>
      <c r="N28" s="16" t="n">
        <v>41.33333333333333</v>
      </c>
    </row>
    <row r="29">
      <c r="A29" s="2" t="inlineStr">
        <is>
          <t>Ian Kim</t>
        </is>
      </c>
      <c r="B29" s="14" t="n">
        <v>4</v>
      </c>
      <c r="C29" s="3" t="n">
        <v>2.666666666666667</v>
      </c>
      <c r="D29" s="14" t="n">
        <v>4</v>
      </c>
      <c r="E29" s="14" t="n">
        <v>4</v>
      </c>
      <c r="F29" s="17" t="n">
        <v>0</v>
      </c>
      <c r="G29" s="14" t="n">
        <v>4</v>
      </c>
      <c r="H29" s="14" t="n">
        <v>4</v>
      </c>
      <c r="I29" s="14" t="n">
        <v>4</v>
      </c>
      <c r="J29" s="14" t="n">
        <v>4</v>
      </c>
      <c r="K29" s="14" t="n">
        <v>4</v>
      </c>
      <c r="L29" s="14" t="n">
        <v>4</v>
      </c>
      <c r="M29" s="14" t="n">
        <v>4</v>
      </c>
      <c r="N29" s="16" t="n">
        <v>42.66666666666666</v>
      </c>
    </row>
    <row r="30">
      <c r="A30" s="2" t="inlineStr">
        <is>
          <t>Taylor Lewis</t>
        </is>
      </c>
      <c r="B30" s="14" t="n">
        <v>4</v>
      </c>
      <c r="C30" s="14" t="n">
        <v>4</v>
      </c>
      <c r="D30" s="14" t="n">
        <v>4</v>
      </c>
      <c r="E30" s="14" t="n">
        <v>4</v>
      </c>
      <c r="F30" s="17" t="n">
        <v>0</v>
      </c>
      <c r="G30" s="14" t="n">
        <v>4</v>
      </c>
      <c r="H30" s="17" t="n">
        <v>0</v>
      </c>
      <c r="I30" s="14" t="n">
        <v>4</v>
      </c>
      <c r="J30" s="14" t="n">
        <v>4</v>
      </c>
      <c r="K30" s="3" t="n">
        <v>1.333333333333333</v>
      </c>
      <c r="L30" s="14" t="n">
        <v>4</v>
      </c>
      <c r="M30" s="14" t="n">
        <v>4</v>
      </c>
      <c r="N30" s="16" t="n">
        <v>37.33333333333333</v>
      </c>
    </row>
    <row r="31">
      <c r="A31" s="2" t="inlineStr">
        <is>
          <t>Ronald Portillo Quinteros</t>
        </is>
      </c>
      <c r="B31" s="14" t="n">
        <v>4</v>
      </c>
      <c r="C31" s="17" t="n">
        <v>0</v>
      </c>
      <c r="D31" s="14" t="n">
        <v>4</v>
      </c>
      <c r="E31" s="14" t="n">
        <v>4</v>
      </c>
      <c r="F31" s="17" t="n">
        <v>0</v>
      </c>
      <c r="G31" s="14" t="n">
        <v>4</v>
      </c>
      <c r="H31" s="14" t="n">
        <v>4</v>
      </c>
      <c r="I31" s="14" t="n">
        <v>4</v>
      </c>
      <c r="J31" s="14" t="n">
        <v>4</v>
      </c>
      <c r="K31" s="14" t="n">
        <v>4</v>
      </c>
      <c r="L31" s="17" t="n">
        <v>0</v>
      </c>
      <c r="M31" s="17" t="n">
        <v>0</v>
      </c>
      <c r="N31" s="16" t="n">
        <v>32</v>
      </c>
    </row>
    <row r="32">
      <c r="A32" s="2" t="inlineStr">
        <is>
          <t>Luis Ibarra</t>
        </is>
      </c>
      <c r="B32" s="14" t="n">
        <v>4</v>
      </c>
      <c r="C32" s="14" t="n">
        <v>4</v>
      </c>
      <c r="D32" s="14" t="n">
        <v>4</v>
      </c>
      <c r="E32" s="14" t="n">
        <v>4</v>
      </c>
      <c r="F32" s="17" t="n">
        <v>0</v>
      </c>
      <c r="G32" s="14" t="n">
        <v>4</v>
      </c>
      <c r="H32" s="14" t="n">
        <v>4</v>
      </c>
      <c r="I32" s="14" t="n">
        <v>4</v>
      </c>
      <c r="J32" s="14" t="n">
        <v>4</v>
      </c>
      <c r="K32" s="3" t="n">
        <v>2.666666666666667</v>
      </c>
      <c r="L32" s="14" t="n">
        <v>4</v>
      </c>
      <c r="M32" s="14" t="n">
        <v>4</v>
      </c>
      <c r="N32" s="16" t="n">
        <v>42.66666666666666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45" customWidth="1" min="3" max="3"/>
    <col width="45" customWidth="1" min="4" max="4"/>
    <col width="25" customWidth="1" min="5" max="5"/>
  </cols>
  <sheetData>
    <row r="1">
      <c r="A1" s="18" t="inlineStr">
        <is>
          <t>Q11_add_match — 12 points</t>
        </is>
      </c>
    </row>
    <row r="2">
      <c r="A2" s="19" t="inlineStr">
        <is>
          <t>Criterion</t>
        </is>
      </c>
      <c r="B2" s="19" t="inlineStr">
        <is>
          <t>Max Pts</t>
        </is>
      </c>
      <c r="C2" s="19" t="inlineStr">
        <is>
          <t>Full Credit</t>
        </is>
      </c>
      <c r="D2" s="19" t="inlineStr">
        <is>
          <t>Partial Credit</t>
        </is>
      </c>
      <c r="E2" s="19" t="inlineStr">
        <is>
          <t>No Credit</t>
        </is>
      </c>
    </row>
    <row r="3">
      <c r="A3" s="12" t="inlineStr">
        <is>
          <t>A. Procedure header</t>
        </is>
      </c>
      <c r="B3" s="12" t="n">
        <v>2</v>
      </c>
      <c r="C3" s="12" t="inlineStr">
        <is>
          <t>Correct CREATE OR REPLACE PROCEDURE add_match(...) with all 6 params</t>
        </is>
      </c>
      <c r="D3" s="12" t="inlineStr">
        <is>
          <t>1: Missing 1-2 params or minor datatype issue</t>
        </is>
      </c>
      <c r="E3" s="12" t="inlineStr">
        <is>
          <t>0: Wrong construct</t>
        </is>
      </c>
    </row>
    <row r="4">
      <c r="A4" s="12" t="inlineStr">
        <is>
          <t>B. Validation logic</t>
        </is>
      </c>
      <c r="B4" s="12" t="n">
        <v>3</v>
      </c>
      <c r="C4" s="12" t="inlineStr">
        <is>
          <t>Checks home=away BEFORE INSERT, RAISE_APPLICATION_ERROR(-20000 to -20999)</t>
        </is>
      </c>
      <c r="D4" s="12" t="inlineStr">
        <is>
          <t>2: Wrong error proc name or check after INSERT. 1: Right idea, bad syntax</t>
        </is>
      </c>
      <c r="E4" s="12" t="inlineStr">
        <is>
          <t>0: No validation</t>
        </is>
      </c>
    </row>
    <row r="5">
      <c r="A5" s="12" t="inlineStr">
        <is>
          <t>C. INSERT statement</t>
        </is>
      </c>
      <c r="B5" s="12" t="n">
        <v>5</v>
      </c>
      <c r="C5" s="12" t="inlineStr">
        <is>
          <t>Correct INSERT INTO MATCHES with all 8 cols, goals=NULL</t>
        </is>
      </c>
      <c r="D5" s="12" t="inlineStr">
        <is>
          <t>4: Missing 1 col. 3: Goals=0. 2: Significantly wrong. 1: Barely attempted</t>
        </is>
      </c>
      <c r="E5" s="12" t="inlineStr">
        <is>
          <t>0: No INSERT</t>
        </is>
      </c>
    </row>
    <row r="6">
      <c r="A6" s="12" t="inlineStr">
        <is>
          <t>D. Overall structure</t>
        </is>
      </c>
      <c r="B6" s="12" t="n">
        <v>2</v>
      </c>
      <c r="C6" s="12" t="inlineStr">
        <is>
          <t>BEGIN/END, semicolons, IS/AS, no COMMIT</t>
        </is>
      </c>
      <c r="D6" s="12" t="inlineStr">
        <is>
          <t>1: Minor issues. -0.5 if COMMIT included</t>
        </is>
      </c>
      <c r="E6" s="12" t="inlineStr">
        <is>
          <t>0: Not recognizable as PL/SQL</t>
        </is>
      </c>
    </row>
    <row r="8">
      <c r="A8" s="18" t="inlineStr">
        <is>
          <t>Q12_get_team_points — 12 points</t>
        </is>
      </c>
    </row>
    <row r="9">
      <c r="A9" s="19" t="inlineStr">
        <is>
          <t>Criterion</t>
        </is>
      </c>
      <c r="B9" s="19" t="inlineStr">
        <is>
          <t>Max Pts</t>
        </is>
      </c>
      <c r="C9" s="19" t="inlineStr">
        <is>
          <t>Full Credit</t>
        </is>
      </c>
      <c r="D9" s="19" t="inlineStr">
        <is>
          <t>Partial Credit</t>
        </is>
      </c>
      <c r="E9" s="19" t="inlineStr">
        <is>
          <t>No Credit</t>
        </is>
      </c>
    </row>
    <row r="10">
      <c r="A10" s="12" t="inlineStr">
        <is>
          <t>A. Function header</t>
        </is>
      </c>
      <c r="B10" s="12" t="n">
        <v>2</v>
      </c>
      <c r="C10" s="12" t="inlineStr">
        <is>
          <t>CREATE OR REPLACE FUNCTION ... RETURN NUMBER IS</t>
        </is>
      </c>
      <c r="D10" s="12" t="inlineStr">
        <is>
          <t>1: Missing RETURN or wrong type</t>
        </is>
      </c>
      <c r="E10" s="12" t="inlineStr">
        <is>
          <t>0: Written as PROCEDURE</t>
        </is>
      </c>
    </row>
    <row r="11">
      <c r="A11" s="12" t="inlineStr">
        <is>
          <t>B. SELECT INTO</t>
        </is>
      </c>
      <c r="B11" s="12" t="n">
        <v>3</v>
      </c>
      <c r="C11" s="12" t="inlineStr">
        <is>
          <t>SELECT home/away team+goals INTO vars FROM MATCHES WHERE match_id=p_match_id</t>
        </is>
      </c>
      <c r="D11" s="12" t="inlineStr">
        <is>
          <t>2: Missing 1-2 cols. 1: Wrong syntax</t>
        </is>
      </c>
      <c r="E11" s="12" t="inlineStr">
        <is>
          <t>0: No SELECT INTO</t>
        </is>
      </c>
    </row>
    <row r="12">
      <c r="A12" s="12" t="inlineStr">
        <is>
          <t>C. Team validation</t>
        </is>
      </c>
      <c r="B12" s="12" t="n">
        <v>2</v>
      </c>
      <c r="C12" s="12" t="inlineStr">
        <is>
          <t>Checks p_team_id = home or away, rejects otherwise</t>
        </is>
      </c>
      <c r="D12" s="12" t="inlineStr">
        <is>
          <t>1: Check present but logic inverted or wrong rejection</t>
        </is>
      </c>
      <c r="E12" s="12" t="inlineStr">
        <is>
          <t>0: No check</t>
        </is>
      </c>
    </row>
    <row r="13">
      <c r="A13" s="12" t="inlineStr">
        <is>
          <t>D. Match exists &amp; NULL</t>
        </is>
      </c>
      <c r="B13" s="12" t="n">
        <v>2</v>
      </c>
      <c r="C13" s="12" t="inlineStr">
        <is>
          <t>Handles NO_DATA_FOUND AND checks goals not NULL</t>
        </is>
      </c>
      <c r="D13" s="12" t="inlineStr">
        <is>
          <t>1: Only one validation present</t>
        </is>
      </c>
      <c r="E13" s="12" t="inlineStr">
        <is>
          <t>0: Neither</t>
        </is>
      </c>
    </row>
    <row r="14">
      <c r="A14" s="12" t="inlineStr">
        <is>
          <t>E. Win/draw/loss</t>
        </is>
      </c>
      <c r="B14" s="12" t="n">
        <v>3</v>
      </c>
      <c r="C14" s="12" t="inlineStr">
        <is>
          <t>Correct 3/1/0 from home vs away perspective</t>
        </is>
      </c>
      <c r="D14" s="12" t="inlineStr">
        <is>
          <t>2: Mostly correct but edge case. 1: Returns values but confused</t>
        </is>
      </c>
      <c r="E14" s="12" t="inlineStr">
        <is>
          <t>0: No logic</t>
        </is>
      </c>
    </row>
    <row r="16">
      <c r="A16" s="18" t="inlineStr">
        <is>
          <t>Q13_add_player_rating — 16 points</t>
        </is>
      </c>
    </row>
    <row r="17">
      <c r="A17" s="19" t="inlineStr">
        <is>
          <t>Criterion</t>
        </is>
      </c>
      <c r="B17" s="19" t="inlineStr">
        <is>
          <t>Max Pts</t>
        </is>
      </c>
      <c r="C17" s="19" t="inlineStr">
        <is>
          <t>Full Credit</t>
        </is>
      </c>
      <c r="D17" s="19" t="inlineStr">
        <is>
          <t>Partial Credit</t>
        </is>
      </c>
      <c r="E17" s="19" t="inlineStr">
        <is>
          <t>No Credit</t>
        </is>
      </c>
    </row>
    <row r="18">
      <c r="A18" s="12" t="inlineStr">
        <is>
          <t>A. Procedure header</t>
        </is>
      </c>
      <c r="B18" s="12" t="n">
        <v>3</v>
      </c>
      <c r="C18" s="12" t="inlineStr">
        <is>
          <t>Correct header with player_id, attribute_date, overall_rating minimum</t>
        </is>
      </c>
      <c r="D18" s="12" t="inlineStr">
        <is>
          <t>2: Missing params. 1: Severely incomplete</t>
        </is>
      </c>
      <c r="E18" s="12" t="inlineStr">
        <is>
          <t>0: Not a procedure</t>
        </is>
      </c>
    </row>
    <row r="19">
      <c r="A19" s="12" t="inlineStr">
        <is>
          <t>B. INSERT statement</t>
        </is>
      </c>
      <c r="B19" s="12" t="n">
        <v>5</v>
      </c>
      <c r="C19" s="12" t="inlineStr">
        <is>
          <t>Correct INSERT INTO PLAYER_ATTRIBUTE_HISTORY using params</t>
        </is>
      </c>
      <c r="D19" s="12" t="inlineStr">
        <is>
          <t>4: Missing 1 col. 3: 2+ missing. 2: Significantly wrong. 1: Barely attempted</t>
        </is>
      </c>
      <c r="E19" s="12" t="inlineStr">
        <is>
          <t>0: No INSERT</t>
        </is>
      </c>
    </row>
    <row r="20">
      <c r="A20" s="12" t="inlineStr">
        <is>
          <t>C. Cursor declaration</t>
        </is>
      </c>
      <c r="B20" s="12" t="n">
        <v>3</v>
      </c>
      <c r="C20" s="12" t="inlineStr">
        <is>
          <t>Cursor for PLAYER_ATTRIBUTE_HISTORY WHERE player_id, ORDER BY date DESC</t>
        </is>
      </c>
      <c r="D20" s="12" t="inlineStr">
        <is>
          <t>2: Missing WHERE or ORDER BY. 1: Wrong table/no SELECT</t>
        </is>
      </c>
      <c r="E20" s="12" t="inlineStr">
        <is>
          <t>0: No cursor</t>
        </is>
      </c>
    </row>
    <row r="21">
      <c r="A21" s="12" t="inlineStr">
        <is>
          <t>D. Cursor loop/fetch</t>
        </is>
      </c>
      <c r="B21" s="12" t="n">
        <v>3</v>
      </c>
      <c r="C21" s="12" t="inlineStr">
        <is>
          <t>FOR LOOP or OPEN/FETCH/CLOSE iterating correctly</t>
        </is>
      </c>
      <c r="D21" s="12" t="inlineStr">
        <is>
          <t>2: Loop with errors. 1: Attempted but broken</t>
        </is>
      </c>
      <c r="E21" s="12" t="inlineStr">
        <is>
          <t>0: No loop</t>
        </is>
      </c>
    </row>
    <row r="22">
      <c r="A22" s="12" t="inlineStr">
        <is>
          <t>E. DBMS_OUTPUT</t>
        </is>
      </c>
      <c r="B22" s="12" t="n">
        <v>2</v>
      </c>
      <c r="C22" s="12" t="inlineStr">
        <is>
          <t>Prints attribute_date and overall_rating in loop</t>
        </is>
      </c>
      <c r="D22" s="12" t="inlineStr">
        <is>
          <t>1: Missing one field or typo in DBMS_OUTPUT</t>
        </is>
      </c>
      <c r="E22" s="12" t="inlineStr">
        <is>
          <t>0: No output</t>
        </is>
      </c>
    </row>
    <row r="24">
      <c r="A24" s="18" t="inlineStr">
        <is>
          <t>Q16_pkg_team_tools — 12 points</t>
        </is>
      </c>
    </row>
    <row r="25">
      <c r="A25" s="19" t="inlineStr">
        <is>
          <t>Criterion</t>
        </is>
      </c>
      <c r="B25" s="19" t="inlineStr">
        <is>
          <t>Max Pts</t>
        </is>
      </c>
      <c r="C25" s="19" t="inlineStr">
        <is>
          <t>Full Credit</t>
        </is>
      </c>
      <c r="D25" s="19" t="inlineStr">
        <is>
          <t>Partial Credit</t>
        </is>
      </c>
      <c r="E25" s="19" t="inlineStr">
        <is>
          <t>No Credit</t>
        </is>
      </c>
    </row>
    <row r="26">
      <c r="A26" s="12" t="inlineStr">
        <is>
          <t>A. Package spec</t>
        </is>
      </c>
      <c r="B26" s="12" t="n">
        <v>4</v>
      </c>
      <c r="C26" s="12" t="inlineStr">
        <is>
          <t>3 public declarations, no log_action, correct syntax</t>
        </is>
      </c>
      <c r="D26" s="12" t="inlineStr">
        <is>
          <t>3: Minor syntax. 2: log_action in spec (key error) or 2/3 routines. 1: Severely incomplete</t>
        </is>
      </c>
      <c r="E26" s="12" t="inlineStr">
        <is>
          <t>0: No spec</t>
        </is>
      </c>
    </row>
    <row r="27">
      <c r="A27" s="12" t="inlineStr">
        <is>
          <t>B. Package body</t>
        </is>
      </c>
      <c r="B27" s="12" t="n">
        <v>3</v>
      </c>
      <c r="C27" s="12" t="inlineStr">
        <is>
          <t>PACKAGE BODY with all 3 routines implemented (placeholder OK)</t>
        </is>
      </c>
      <c r="D27" s="12" t="inlineStr">
        <is>
          <t>2: Most routines but 1 missing. 1: Fundamentally broken</t>
        </is>
      </c>
      <c r="E27" s="12" t="inlineStr">
        <is>
          <t>0: No body</t>
        </is>
      </c>
    </row>
    <row r="28">
      <c r="A28" s="12" t="inlineStr">
        <is>
          <t>C. Private helper</t>
        </is>
      </c>
      <c r="B28" s="12" t="n">
        <v>3</v>
      </c>
      <c r="C28" s="12" t="inlineStr">
        <is>
          <t>log_action only in body, not in spec</t>
        </is>
      </c>
      <c r="D28" s="12" t="inlineStr">
        <is>
          <t>2: In body but also in spec. 1: Exists but wrong placement</t>
        </is>
      </c>
      <c r="E28" s="12" t="inlineStr">
        <is>
          <t>0: No log_action</t>
        </is>
      </c>
    </row>
    <row r="29">
      <c r="A29" s="12" t="inlineStr">
        <is>
          <t>D. Call public→private</t>
        </is>
      </c>
      <c r="B29" s="12" t="n">
        <v>2</v>
      </c>
      <c r="C29" s="12" t="inlineStr">
        <is>
          <t>print_team_message calls log_action</t>
        </is>
      </c>
      <c r="D29" s="12" t="inlineStr">
        <is>
          <t>1: Wrong routine calls it or wrong syntax</t>
        </is>
      </c>
      <c r="E29" s="12" t="inlineStr">
        <is>
          <t>0: No 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2026-03-18T15:31:39Z</dcterms:created>
  <dcterms:modified xmlns:dcterms="http://purl.org/dc/terms/" xmlns:xsi="http://www.w3.org/2001/XMLSchema-instance" xsi:type="dcterms:W3CDTF">2026-03-18T15:39:11Z</dcterms:modified>
</cp:coreProperties>
</file>