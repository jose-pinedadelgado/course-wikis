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2" fillId="4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</cols>
  <sheetData>
    <row r="1">
      <c r="A1" s="1" t="inlineStr">
        <is>
          <t>Student</t>
        </is>
      </c>
      <c r="B1" s="1" t="inlineStr">
        <is>
          <t>P1 Entities(5)</t>
        </is>
      </c>
      <c r="C1" s="1" t="inlineStr">
        <is>
          <t>P1 Attrs(4)</t>
        </is>
      </c>
      <c r="D1" s="1" t="inlineStr">
        <is>
          <t>P1 Rels(4)</t>
        </is>
      </c>
      <c r="E1" s="1" t="inlineStr">
        <is>
          <t>P1 SuperSub(4)</t>
        </is>
      </c>
      <c r="F1" s="1" t="inlineStr">
        <is>
          <t>P1 Clean(3)</t>
        </is>
      </c>
      <c r="G1" s="1" t="inlineStr">
        <is>
          <t>P1 Total(20)</t>
        </is>
      </c>
      <c r="H1" s="1" t="inlineStr">
        <is>
          <t>P2 Relations(4)</t>
        </is>
      </c>
      <c r="I1" s="1" t="inlineStr">
        <is>
          <t>P2 PKs(4)</t>
        </is>
      </c>
      <c r="J1" s="1" t="inlineStr">
        <is>
          <t>P2 FKs(4)</t>
        </is>
      </c>
      <c r="K1" s="1" t="inlineStr">
        <is>
          <t>P2 SuperSub(4)</t>
        </is>
      </c>
      <c r="L1" s="1" t="inlineStr">
        <is>
          <t>P2 Special(4)</t>
        </is>
      </c>
      <c r="M1" s="1" t="inlineStr">
        <is>
          <t>P2 Total(20)</t>
        </is>
      </c>
      <c r="N1" s="1" t="inlineStr">
        <is>
          <t>P3 Q1(4)</t>
        </is>
      </c>
      <c r="O1" s="1" t="inlineStr">
        <is>
          <t>P3 Q2(4)</t>
        </is>
      </c>
      <c r="P1" s="1" t="inlineStr">
        <is>
          <t>P3 Q3(4)</t>
        </is>
      </c>
      <c r="Q1" s="1" t="inlineStr">
        <is>
          <t>P3 Q4(4)</t>
        </is>
      </c>
      <c r="R1" s="1" t="inlineStr">
        <is>
          <t>P3 Q5(4)</t>
        </is>
      </c>
      <c r="S1" s="1" t="inlineStr">
        <is>
          <t>P3 Total(20)</t>
        </is>
      </c>
      <c r="T1" s="1" t="inlineStr">
        <is>
          <t>Grand Total(60)</t>
        </is>
      </c>
      <c r="U1" s="1" t="inlineStr">
        <is>
          <t>%</t>
        </is>
      </c>
      <c r="V1" s="1" t="inlineStr">
        <is>
          <t>Letter</t>
        </is>
      </c>
      <c r="W1" s="1" t="inlineStr">
        <is>
          <t>Notes</t>
        </is>
      </c>
    </row>
    <row r="2">
      <c r="A2" s="2" t="inlineStr">
        <is>
          <t>Yusef Alarda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3">
        <f>SUM(B2:F2)</f>
        <v/>
      </c>
      <c r="H2" s="2" t="n">
        <v>3</v>
      </c>
      <c r="I2" s="2" t="n">
        <v>2</v>
      </c>
      <c r="J2" s="2" t="n">
        <v>2</v>
      </c>
      <c r="K2" s="2" t="n">
        <v>3</v>
      </c>
      <c r="L2" s="2" t="n">
        <v>0</v>
      </c>
      <c r="M2" s="3">
        <f>SUM(H2:L2)</f>
        <v/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3">
        <f>SUM(N2:R2)</f>
        <v/>
      </c>
      <c r="T2" s="4">
        <f>G2+M2+S2</f>
        <v/>
      </c>
      <c r="U2" s="5">
        <f>T2/60</f>
        <v/>
      </c>
      <c r="V2" s="2">
        <f>IF(T2&gt;=54,"A",IF(T2&gt;=48,"B",IF(T2&gt;=42,"C",IF(T2&gt;=36,"D","F"))))</f>
        <v/>
      </c>
      <c r="W2" s="6" t="inlineStr">
        <is>
          <t>P1: P1: EMPTY — no diagram from visual review.
P2: P2: From visual review. Has EMPLOYEE, CONSULTANT(PK/FK EmployeeID), MANAGER(PK/FK EmployeeID), CLIENT, PROJECT(FK ClientID). Subtypes use EmployeeID correctly. No CONSULTANT_PROJECT. No HoursAssigned.
P3: P3: ALL BLANK from visual review.</t>
        </is>
      </c>
    </row>
    <row r="3">
      <c r="A3" s="2" t="inlineStr">
        <is>
          <t>Camila Alvarez</t>
        </is>
      </c>
      <c r="B3" s="2" t="n">
        <v>4</v>
      </c>
      <c r="C3" s="2" t="n">
        <v>3</v>
      </c>
      <c r="D3" s="2" t="n">
        <v>3</v>
      </c>
      <c r="E3" s="2" t="n">
        <v>3</v>
      </c>
      <c r="F3" s="2" t="n">
        <v>2</v>
      </c>
      <c r="G3" s="3">
        <f>SUM(B3:F3)</f>
        <v/>
      </c>
      <c r="H3" s="2" t="n">
        <v>3</v>
      </c>
      <c r="I3" s="2" t="n">
        <v>3</v>
      </c>
      <c r="J3" s="2" t="n">
        <v>3</v>
      </c>
      <c r="K3" s="2" t="n">
        <v>3</v>
      </c>
      <c r="L3" s="2" t="n">
        <v>2</v>
      </c>
      <c r="M3" s="3">
        <f>SUM(H3:L3)</f>
        <v/>
      </c>
      <c r="N3" s="2" t="n">
        <v>4</v>
      </c>
      <c r="O3" s="2" t="n">
        <v>3</v>
      </c>
      <c r="P3" s="2" t="n">
        <v>3</v>
      </c>
      <c r="Q3" s="2" t="n">
        <v>3</v>
      </c>
      <c r="R3" s="2" t="n">
        <v>3</v>
      </c>
      <c r="S3" s="3">
        <f>SUM(N3:R3)</f>
        <v/>
      </c>
      <c r="T3" s="4">
        <f>G3+M3+S3</f>
        <v/>
      </c>
      <c r="U3" s="5">
        <f>T3/60</f>
        <v/>
      </c>
      <c r="V3" s="2">
        <f>IF(T3&gt;=54,"A",IF(T3&gt;=48,"B",IF(T3&gt;=42,"C",IF(T3&gt;=36,"D","F"))))</f>
        <v/>
      </c>
      <c r="W3" s="6" t="inlineStr">
        <is>
          <t>P1: P1: From visual review. 5 entities. Supertype/subtype present. Circle label unclear (O or D).
P2: P2: From visual review. Tables with FK connections visible. Reference ERD + solution.
P3: P3: From visual review. Q1="1NF" correct. 2NF: 4 tables correct. 3NF: added TRAINER. Q4 transitive dep identified.</t>
        </is>
      </c>
    </row>
    <row r="4">
      <c r="A4" s="2" t="inlineStr">
        <is>
          <t>Steven Cordero</t>
        </is>
      </c>
      <c r="B4" s="2" t="n">
        <v>3</v>
      </c>
      <c r="C4" s="2" t="n">
        <v>3</v>
      </c>
      <c r="D4" s="2" t="n">
        <v>3</v>
      </c>
      <c r="E4" s="2" t="n">
        <v>4</v>
      </c>
      <c r="F4" s="2" t="n">
        <v>2</v>
      </c>
      <c r="G4" s="3">
        <f>SUM(B4:F4)</f>
        <v/>
      </c>
      <c r="H4" s="2" t="n">
        <v>1</v>
      </c>
      <c r="I4" s="2" t="n">
        <v>1</v>
      </c>
      <c r="J4" s="2" t="n">
        <v>0</v>
      </c>
      <c r="K4" s="2" t="n">
        <v>0</v>
      </c>
      <c r="L4" s="2" t="n">
        <v>0</v>
      </c>
      <c r="M4" s="3">
        <f>SUM(H4:L4)</f>
        <v/>
      </c>
      <c r="N4" s="2" t="n">
        <v>2</v>
      </c>
      <c r="O4" s="2" t="n">
        <v>1</v>
      </c>
      <c r="P4" s="2" t="n">
        <v>1</v>
      </c>
      <c r="Q4" s="2" t="n">
        <v>0</v>
      </c>
      <c r="R4" s="2" t="n">
        <v>0</v>
      </c>
      <c r="S4" s="3">
        <f>SUM(N4:R4)</f>
        <v/>
      </c>
      <c r="T4" s="4">
        <f>G4+M4+S4</f>
        <v/>
      </c>
      <c r="U4" s="5">
        <f>T4/60</f>
        <v/>
      </c>
      <c r="V4" s="2">
        <f>IF(T4&gt;=54,"A",IF(T4&gt;=48,"B",IF(T4&gt;=42,"C",IF(T4&gt;=36,"D","F"))))</f>
        <v/>
      </c>
      <c r="W4" s="6" t="inlineStr">
        <is>
          <t>P1: P1: Person has HomeType as attr (should be on Adopter only). Circle O=overlapping correct. Adopter→Animal relationship (extra). Volunteer, Housing correct.
P2: P2: EMPLOYEE has ManagerID, ConsultantID — FKs in supertype pointing to subtypes (backwards). Template barely modified. No CONSULTANT_PROJECT. No proper transformation.
P3: P3: FD table has TrainingTypeID, AccessoryID, TrainerID as PK — wrong composite. Accessory has RecommendedQty (wrong). Training table empty. No labels, no 3NF.</t>
        </is>
      </c>
    </row>
    <row r="5">
      <c r="A5" s="2" t="inlineStr">
        <is>
          <t>Angelica De Santiago</t>
        </is>
      </c>
      <c r="B5" s="2" t="n">
        <v>4</v>
      </c>
      <c r="C5" s="2" t="n">
        <v>4</v>
      </c>
      <c r="D5" s="2" t="n">
        <v>3</v>
      </c>
      <c r="E5" s="2" t="n">
        <v>4</v>
      </c>
      <c r="F5" s="2" t="n">
        <v>3</v>
      </c>
      <c r="G5" s="3">
        <f>SUM(B5:F5)</f>
        <v/>
      </c>
      <c r="H5" s="2" t="n">
        <v>2</v>
      </c>
      <c r="I5" s="2" t="n">
        <v>1</v>
      </c>
      <c r="J5" s="2" t="n">
        <v>1</v>
      </c>
      <c r="K5" s="2" t="n">
        <v>1</v>
      </c>
      <c r="L5" s="2" t="n">
        <v>0</v>
      </c>
      <c r="M5" s="3">
        <f>SUM(H5:L5)</f>
        <v/>
      </c>
      <c r="N5" s="2" t="n">
        <v>4</v>
      </c>
      <c r="O5" s="2" t="n">
        <v>3</v>
      </c>
      <c r="P5" s="2" t="n">
        <v>3</v>
      </c>
      <c r="Q5" s="2" t="n">
        <v>3</v>
      </c>
      <c r="R5" s="2" t="n">
        <v>3</v>
      </c>
      <c r="S5" s="3">
        <f>SUM(N5:R5)</f>
        <v/>
      </c>
      <c r="T5" s="4">
        <f>G5+M5+S5</f>
        <v/>
      </c>
      <c r="U5" s="5">
        <f>T5/60</f>
        <v/>
      </c>
      <c r="V5" s="2">
        <f>IF(T5&gt;=54,"A",IF(T5&gt;=48,"B",IF(T5&gt;=42,"C",IF(T5&gt;=36,"D","F"))))</f>
        <v/>
      </c>
      <c r="W5" s="6" t="inlineStr">
        <is>
          <t>P1: P1: PEOPLE, VOLUNTEERS, ADOPTERS, ANIMALS, HOUSING AREA. Circle O=overlapping correct. "V"/"A" discriminator labels. "Care For"/"Is Assigned" relationship labels.
P2: P2: From drawio: solution entities same as reference (no FKs added). From visual: labels for EmployeeID, Specialty, BonusRate etc suggest Chen notation attempt but no proper table transformation. No CONSULTANT_PROJECT.
P3: P3: PET TYPE, TRAINING TYPE(FK TrainerID), TRAINER(TrainerID,TrainerName), ACCESSORY, RECOMMENDATION. Has 3NF-level decomposition. Missing FD intersection PK labels.</t>
        </is>
      </c>
    </row>
    <row r="6">
      <c r="A6" s="2" t="inlineStr">
        <is>
          <t>Mario Gomez</t>
        </is>
      </c>
      <c r="B6" s="2" t="n">
        <v>4</v>
      </c>
      <c r="C6" s="2" t="n">
        <v>4</v>
      </c>
      <c r="D6" s="2" t="n">
        <v>3</v>
      </c>
      <c r="E6" s="2" t="n">
        <v>3</v>
      </c>
      <c r="F6" s="2" t="n">
        <v>2</v>
      </c>
      <c r="G6" s="3">
        <f>SUM(B6:F6)</f>
        <v/>
      </c>
      <c r="H6" s="2" t="n">
        <v>3</v>
      </c>
      <c r="I6" s="2" t="n">
        <v>3</v>
      </c>
      <c r="J6" s="2" t="n">
        <v>3</v>
      </c>
      <c r="K6" s="2" t="n">
        <v>3</v>
      </c>
      <c r="L6" s="2" t="n">
        <v>0</v>
      </c>
      <c r="M6" s="3">
        <f>SUM(H6:L6)</f>
        <v/>
      </c>
      <c r="N6" s="2" t="n">
        <v>4</v>
      </c>
      <c r="O6" s="2" t="n">
        <v>3</v>
      </c>
      <c r="P6" s="2" t="n">
        <v>3</v>
      </c>
      <c r="Q6" s="2" t="n">
        <v>0</v>
      </c>
      <c r="R6" s="2" t="n">
        <v>0</v>
      </c>
      <c r="S6" s="3">
        <f>SUM(N6:R6)</f>
        <v/>
      </c>
      <c r="T6" s="4">
        <f>G6+M6+S6</f>
        <v/>
      </c>
      <c r="U6" s="5">
        <f>T6/60</f>
        <v/>
      </c>
      <c r="V6" s="2">
        <f>IF(T6&gt;=54,"A",IF(T6&gt;=48,"B",IF(T6&gt;=42,"C",IF(T6&gt;=36,"D","F"))))</f>
        <v/>
      </c>
      <c r="W6" s="6" t="inlineStr">
        <is>
          <t>P1: P1: PEOPLE, VOLUNTEER, ANIMALS, HOUSING, ADOPTERS. Circle "o"=overlapping. "v"/"a" discriminators. Volunteer→Animals, Animals→Housing. ADOPTERS not connected to supertype properly (only to circle).
P2: P2: CONSULTANT(PK/FK C_EmployeeID, Specialty), MANAGER(PK/FK M_EmployeeID, BonusRate). PROJECT(PK ProjectID, PK/FK ClientID). EMPLOYEE has Manager/Consultant columns (wrong). Subtypes use EmployeeID as PK/FK — correct concept. ClientID in PROJECT. No CONSULTANT_PROJECT.
P3: P3: Only 2NF shown. PD1,PD2,FD correct. PD3 has AccesoryID+AccesoryName+FK TrainerID+RecommendedQty — TrainerID should not be in PD3 in 2NF (premature). Has separate TrainerID+TrainerName table. No 3NF section.</t>
        </is>
      </c>
    </row>
    <row r="7">
      <c r="A7" s="2" t="inlineStr">
        <is>
          <t>Tyson Hansen</t>
        </is>
      </c>
      <c r="B7" s="2" t="n">
        <v>4</v>
      </c>
      <c r="C7" s="2" t="n">
        <v>3</v>
      </c>
      <c r="D7" s="2" t="n">
        <v>3</v>
      </c>
      <c r="E7" s="2" t="n">
        <v>3</v>
      </c>
      <c r="F7" s="2" t="n">
        <v>2</v>
      </c>
      <c r="G7" s="3">
        <f>SUM(B7:F7)</f>
        <v/>
      </c>
      <c r="H7" s="2" t="n">
        <v>3</v>
      </c>
      <c r="I7" s="2" t="n">
        <v>3</v>
      </c>
      <c r="J7" s="2" t="n">
        <v>3</v>
      </c>
      <c r="K7" s="2" t="n">
        <v>3</v>
      </c>
      <c r="L7" s="2" t="n">
        <v>2</v>
      </c>
      <c r="M7" s="3">
        <f>SUM(H7:L7)</f>
        <v/>
      </c>
      <c r="N7" s="2" t="n">
        <v>4</v>
      </c>
      <c r="O7" s="2" t="n">
        <v>3</v>
      </c>
      <c r="P7" s="2" t="n">
        <v>3</v>
      </c>
      <c r="Q7" s="2" t="n">
        <v>3</v>
      </c>
      <c r="R7" s="2" t="n">
        <v>3</v>
      </c>
      <c r="S7" s="3">
        <f>SUM(N7:R7)</f>
        <v/>
      </c>
      <c r="T7" s="4">
        <f>G7+M7+S7</f>
        <v/>
      </c>
      <c r="U7" s="5">
        <f>T7/60</f>
        <v/>
      </c>
      <c r="V7" s="2">
        <f>IF(T7&gt;=54,"A",IF(T7&gt;=48,"B",IF(T7&gt;=42,"C",IF(T7&gt;=36,"D","F"))))</f>
        <v/>
      </c>
      <c r="W7" s="6" t="inlineStr">
        <is>
          <t>P1: P1: From visual review — entities and supertype/subtype present. Details small but visible.
P2: P2: From visual review — tables visible with solution. FK connections drawn.
P3: P3: From visual review — Q1 and Q4 answered. Tables in decomposition visible. Appears complete.</t>
        </is>
      </c>
    </row>
    <row r="8">
      <c r="A8" s="2" t="inlineStr">
        <is>
          <t>Christopher Ho Dang</t>
        </is>
      </c>
      <c r="B8" s="2" t="n">
        <v>4</v>
      </c>
      <c r="C8" s="2" t="n">
        <v>4</v>
      </c>
      <c r="D8" s="2" t="n">
        <v>2</v>
      </c>
      <c r="E8" s="2" t="n">
        <v>2</v>
      </c>
      <c r="F8" s="2" t="n">
        <v>2</v>
      </c>
      <c r="G8" s="3">
        <f>SUM(B8:F8)</f>
        <v/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3">
        <f>SUM(H8:L8)</f>
        <v/>
      </c>
      <c r="N8" s="2" t="n">
        <v>4</v>
      </c>
      <c r="O8" s="2" t="n">
        <v>2</v>
      </c>
      <c r="P8" s="2" t="n">
        <v>2</v>
      </c>
      <c r="Q8" s="2" t="n">
        <v>3</v>
      </c>
      <c r="R8" s="2" t="n">
        <v>3</v>
      </c>
      <c r="S8" s="3">
        <f>SUM(N8:R8)</f>
        <v/>
      </c>
      <c r="T8" s="4">
        <f>G8+M8+S8</f>
        <v/>
      </c>
      <c r="U8" s="5">
        <f>T8/60</f>
        <v/>
      </c>
      <c r="V8" s="2">
        <f>IF(T8&gt;=54,"A",IF(T8&gt;=48,"B",IF(T8&gt;=42,"C",IF(T8&gt;=36,"D","F"))))</f>
        <v/>
      </c>
      <c r="W8" s="6" t="inlineStr">
        <is>
          <t>P1: P1: PEOPLE, ADOPTERS, ANIMALS, HOUSING_AREA, VOLUNTEERS. Circle D=disjoint (WRONG). PersonID labels for subtypes. Animals→Housing, Animals→Volunteers relationships.
P2: P2: Template unmodified from drawio. Visual review confirms NO student solution added. CLIENT→CONSULTANT, EMPLOYEE→CLIENT, PROJECT→CONSULTANT connections are random, no FK transformation.
P3: P3: RECOMMENDATIONS, PET_TYPE, TRAINING_TYPE, Accessory, TRAINER. Has 2NF and 3NF on separate pages. 3NF has TRAINER→TRAINING_TYPE connection. RECOMMENDATIONS has composite PK (PetID,TrainingTypeID,AcessoryID,RecommendedQty). RecommendedQty correct in intersection. Missing some PK labels.</t>
        </is>
      </c>
    </row>
    <row r="9">
      <c r="A9" s="2" t="inlineStr">
        <is>
          <t>Daanyal Kazi</t>
        </is>
      </c>
      <c r="B9" s="2" t="n">
        <v>4</v>
      </c>
      <c r="C9" s="2" t="n">
        <v>4</v>
      </c>
      <c r="D9" s="2" t="n">
        <v>3</v>
      </c>
      <c r="E9" s="2" t="n">
        <v>4</v>
      </c>
      <c r="F9" s="2" t="n">
        <v>3</v>
      </c>
      <c r="G9" s="3">
        <f>SUM(B9:F9)</f>
        <v/>
      </c>
      <c r="H9" s="2" t="n">
        <v>4</v>
      </c>
      <c r="I9" s="2" t="n">
        <v>3</v>
      </c>
      <c r="J9" s="2" t="n">
        <v>3</v>
      </c>
      <c r="K9" s="2" t="n">
        <v>3</v>
      </c>
      <c r="L9" s="2" t="n">
        <v>0</v>
      </c>
      <c r="M9" s="3">
        <f>SUM(H9:L9)</f>
        <v/>
      </c>
      <c r="N9" s="2" t="n">
        <v>4</v>
      </c>
      <c r="O9" s="2" t="n">
        <v>3</v>
      </c>
      <c r="P9" s="2" t="n">
        <v>2</v>
      </c>
      <c r="Q9" s="2" t="n">
        <v>3</v>
      </c>
      <c r="R9" s="2" t="n">
        <v>3</v>
      </c>
      <c r="S9" s="3">
        <f>SUM(N9:R9)</f>
        <v/>
      </c>
      <c r="T9" s="4">
        <f>G9+M9+S9</f>
        <v/>
      </c>
      <c r="U9" s="5">
        <f>T9/60</f>
        <v/>
      </c>
      <c r="V9" s="2">
        <f>IF(T9&gt;=54,"A",IF(T9&gt;=48,"B",IF(T9&gt;=42,"C",IF(T9&gt;=36,"D","F"))))</f>
        <v/>
      </c>
      <c r="W9" s="6" t="inlineStr">
        <is>
          <t>P1: P1: PEOPLE, ADOPTER, VOLUNTEERS, ANIMALS, HOUSING AREA. Circle "o"=overlapping correct. PersonType? discriminator. Adopter→Animals, Volunteers→Animals, Animals→Housing.
P2: P2: PROJECT(PK ProjectID, FK ClientID, FK MEmployeeID). CONSULTANT(PK/FK CEmployeeID, Specialty). MANAGER(PK/FK MEmployeeID, BonusRate). Uses EmployeeID variants as PK/FK — correct concept. ClientID in PROJECT — correct. No CONSULTANT_PROJECT.
P3: P3: PET TYPE, ACCESSORY, TRAINING TYPE(PK/FK TrainerID, TrainingTypeName PK — wrong PK for TrainingTypeName), TRAINER(TrainerID,TrainerName). RecommendedQTY table with composite FK/PKs. TrainingTypeName as PK is wrong. Structure close but PK errors.</t>
        </is>
      </c>
    </row>
    <row r="10">
      <c r="A10" s="2" t="inlineStr">
        <is>
          <t>Kurt Lu</t>
        </is>
      </c>
      <c r="B10" s="2" t="n">
        <v>5</v>
      </c>
      <c r="C10" s="2" t="n">
        <v>4</v>
      </c>
      <c r="D10" s="2" t="n">
        <v>4</v>
      </c>
      <c r="E10" s="2" t="n">
        <v>4</v>
      </c>
      <c r="F10" s="2" t="n">
        <v>3</v>
      </c>
      <c r="G10" s="3">
        <f>SUM(B10:F10)</f>
        <v/>
      </c>
      <c r="H10" s="2" t="n">
        <v>4</v>
      </c>
      <c r="I10" s="2" t="n">
        <v>4</v>
      </c>
      <c r="J10" s="2" t="n">
        <v>4</v>
      </c>
      <c r="K10" s="2" t="n">
        <v>0</v>
      </c>
      <c r="L10" s="2" t="n">
        <v>0</v>
      </c>
      <c r="M10" s="3">
        <f>SUM(H10:L10)</f>
        <v/>
      </c>
      <c r="N10" s="2" t="n">
        <v>4</v>
      </c>
      <c r="O10" s="2" t="n">
        <v>4</v>
      </c>
      <c r="P10" s="2" t="n">
        <v>4</v>
      </c>
      <c r="Q10" s="2" t="n">
        <v>4</v>
      </c>
      <c r="R10" s="2" t="n">
        <v>4</v>
      </c>
      <c r="S10" s="3">
        <f>SUM(N10:R10)</f>
        <v/>
      </c>
      <c r="T10" s="4">
        <f>G10+M10+S10</f>
        <v/>
      </c>
      <c r="U10" s="5">
        <f>T10/60</f>
        <v/>
      </c>
      <c r="V10" s="2">
        <f>IF(T10&gt;=54,"A",IF(T10&gt;=48,"B",IF(T10&gt;=42,"C",IF(T10&gt;=36,"D","F"))))</f>
        <v/>
      </c>
      <c r="W10" s="6" t="inlineStr">
        <is>
          <t>P1: P1: DIFFERENT EXAM (Real Estate). CUSTOMER(supertype), RENTER(PK/FK Customer_ID, Family_Size), INVESTOR(PK/FK Customer_ID), COMPANY(Company_ID, FK Customer_ID), RENTAL(composite PK FK Customer_ID+Property_ID, Start_Date, End_Date, Price), PROPERTY(supertype), CONDOMINIUM(PK/FK Property_ID, Apartment_Qty), COMMERCIAL_PROPERTY(PK/FK Property_ID, Class_Type). Excellent — two supertype/subtypes with overlapping labels, RENTAL associative entity. Very clean.
P2: P2: DIFFERENT EXAM (RideShare). PASSENGER, DRIVER, LOCATION, TRIP(FK PassengerID, FK DriverID, FK LocationID). All FKs correctly placed in TRIP (many side). No supertype/subtype in this version. Clean transformation.
P3: P3: DIFFERENT EXAM (Hospital ADMISSION). EXCELLENT. 2NF: PATIENT, DOCTOR, WARD(FK HospitalID, HospitalName "transitive!", City "transitive!", State "transitive!"), ADMISSION(composite PK). 3NF: Created HOSPITAL(HospitalID,HospitalName,City,State), WARD now has FK HospitalID only. Perfect identification of transitive deps and correct 3NF.</t>
        </is>
      </c>
    </row>
    <row r="11">
      <c r="A11" s="2" t="inlineStr">
        <is>
          <t>Hunter Me</t>
        </is>
      </c>
      <c r="B11" s="2" t="n">
        <v>4</v>
      </c>
      <c r="C11" s="2" t="n">
        <v>4</v>
      </c>
      <c r="D11" s="2" t="n">
        <v>4</v>
      </c>
      <c r="E11" s="2" t="n">
        <v>4</v>
      </c>
      <c r="F11" s="2" t="n">
        <v>3</v>
      </c>
      <c r="G11" s="3">
        <f>SUM(B11:F11)</f>
        <v/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3">
        <f>SUM(H11:L11)</f>
        <v/>
      </c>
      <c r="N11" s="2" t="n">
        <v>4</v>
      </c>
      <c r="O11" s="2" t="n">
        <v>1</v>
      </c>
      <c r="P11" s="2" t="n">
        <v>1</v>
      </c>
      <c r="Q11" s="2" t="n">
        <v>0</v>
      </c>
      <c r="R11" s="2" t="n">
        <v>0</v>
      </c>
      <c r="S11" s="3">
        <f>SUM(N11:R11)</f>
        <v/>
      </c>
      <c r="T11" s="4">
        <f>G11+M11+S11</f>
        <v/>
      </c>
      <c r="U11" s="5">
        <f>T11/60</f>
        <v/>
      </c>
      <c r="V11" s="2">
        <f>IF(T11&gt;=54,"A",IF(T11&gt;=48,"B",IF(T11&gt;=42,"C",IF(T11&gt;=36,"D","F"))))</f>
        <v/>
      </c>
      <c r="W11" s="6" t="inlineStr">
        <is>
          <t>P1: P1: From visual review. 5 entities correct. Circle "O"=overlapping correct. "V"/"A" discriminators. Volunteer→Animal M:N, Animal→Housing 1:M. Partial specialization. Clean.
P2: P2: DIFFERENT EXAM VERSION (PocketLedger). EMPTY — no solution. Skipping per Jose instructions.
P3: P3: From visual review. Q1="1NF" correct. Q2: lists PK components as "full deps" — wrong understanding. Q3: 4 tables but missing intersection, RecommendedQty in Accessory wrong, Trainer premature. Q4: wrong (lists non-key attrs as transitive deps). Q5: wrong (stripped all attrs).</t>
        </is>
      </c>
    </row>
    <row r="12">
      <c r="A12" s="2" t="inlineStr">
        <is>
          <t>Bradley Mendez</t>
        </is>
      </c>
      <c r="B12" s="2" t="n">
        <v>4</v>
      </c>
      <c r="C12" s="2" t="n">
        <v>4</v>
      </c>
      <c r="D12" s="2" t="n">
        <v>3</v>
      </c>
      <c r="E12" s="2" t="n">
        <v>2</v>
      </c>
      <c r="F12" s="2" t="n">
        <v>2</v>
      </c>
      <c r="G12" s="3">
        <f>SUM(B12:F12)</f>
        <v/>
      </c>
      <c r="H12" s="2" t="n">
        <v>3</v>
      </c>
      <c r="I12" s="2" t="n">
        <v>2</v>
      </c>
      <c r="J12" s="2" t="n">
        <v>3</v>
      </c>
      <c r="K12" s="2" t="n">
        <v>3</v>
      </c>
      <c r="L12" s="2" t="n">
        <v>0</v>
      </c>
      <c r="M12" s="3">
        <f>SUM(H12:L12)</f>
        <v/>
      </c>
      <c r="N12" s="2" t="n">
        <v>4</v>
      </c>
      <c r="O12" s="2" t="n">
        <v>3</v>
      </c>
      <c r="P12" s="2" t="n">
        <v>3</v>
      </c>
      <c r="Q12" s="2" t="n">
        <v>3</v>
      </c>
      <c r="R12" s="2" t="n">
        <v>0</v>
      </c>
      <c r="S12" s="3">
        <f>SUM(N12:R12)</f>
        <v/>
      </c>
      <c r="T12" s="4">
        <f>G12+M12+S12</f>
        <v/>
      </c>
      <c r="U12" s="5">
        <f>T12/60</f>
        <v/>
      </c>
      <c r="V12" s="2">
        <f>IF(T12&gt;=54,"A",IF(T12&gt;=48,"B",IF(T12&gt;=42,"C",IF(T12&gt;=36,"D","F"))))</f>
        <v/>
      </c>
      <c r="W12" s="6" t="inlineStr">
        <is>
          <t>P1: P1: PEOPLE, Adopters, Volunteers, Shelter(entity name should be Animal), Housing. Circle D=disjoint (WRONG). "V"/"A" discriminators. "care for or care by" label. Entity named "Shelter" instead of "Animal".
P2: P2: PROJECT(PK ProjectID, FK ClientID). CONSULTANT(FK EmployeeID). MANAGER(FK EmployeeID, FK ProjectID). Subtypes have FK to Employee — correct. ClientID in PROJECT — correct. MANAGER has FK ProjectID — acceptable. No CONSULTANT_PROJECT.
P3: P3: PD1(TrainingTypeID,TrainingTypeName,FK TrainerID), TD(TrainerID,TrainerName,TrainingTypeID — TrainingTypeID in TRAINER is wrong). FD with composite PK correct. PD2(AccessoryID,AccessoryName). Missing PD for PetType. Has only 2NF with TD separation (close to 3NF but mixed).</t>
        </is>
      </c>
    </row>
    <row r="13">
      <c r="A13" s="2" t="inlineStr">
        <is>
          <t>Abdallah Mohammed Shameem</t>
        </is>
      </c>
      <c r="B13" s="2" t="n">
        <v>4</v>
      </c>
      <c r="C13" s="2" t="n">
        <v>4</v>
      </c>
      <c r="D13" s="2" t="n">
        <v>2</v>
      </c>
      <c r="E13" s="2" t="n">
        <v>0</v>
      </c>
      <c r="F13" s="2" t="n">
        <v>1</v>
      </c>
      <c r="G13" s="3">
        <f>SUM(B13:F13)</f>
        <v/>
      </c>
      <c r="H13" s="2" t="n">
        <v>4</v>
      </c>
      <c r="I13" s="2" t="n">
        <v>3</v>
      </c>
      <c r="J13" s="2" t="n">
        <v>3</v>
      </c>
      <c r="K13" s="2" t="n">
        <v>3</v>
      </c>
      <c r="L13" s="2" t="n">
        <v>0</v>
      </c>
      <c r="M13" s="3">
        <f>SUM(H13:L13)</f>
        <v/>
      </c>
      <c r="N13" s="2" t="n">
        <v>4</v>
      </c>
      <c r="O13" s="2" t="n">
        <v>2</v>
      </c>
      <c r="P13" s="2" t="n">
        <v>3</v>
      </c>
      <c r="Q13" s="2" t="n">
        <v>0</v>
      </c>
      <c r="R13" s="2" t="n">
        <v>0</v>
      </c>
      <c r="S13" s="3">
        <f>SUM(N13:R13)</f>
        <v/>
      </c>
      <c r="T13" s="4">
        <f>G13+M13+S13</f>
        <v/>
      </c>
      <c r="U13" s="5">
        <f>T13/60</f>
        <v/>
      </c>
      <c r="V13" s="2">
        <f>IF(T13&gt;=54,"A",IF(T13&gt;=48,"B",IF(T13&gt;=42,"C",IF(T13&gt;=36,"D","F"))))</f>
        <v/>
      </c>
      <c r="W13" s="6" t="inlineStr">
        <is>
          <t>P1: P1: Uses SHAPE labels (not table format). PERSON, VOLUNTEER, ADOPTER, HOUSING AREA, ANIMAL all listed. Attributes correct. No O/D circle. No proper supertype/subtype notation. Relationships unclear from shape connections.
P2: P2: DIFFERENT EXAM VERSION (RideShare). PERSON(supertype), DRIVER(PK/FK PersonID, LicenseNumber, DriverRating), RIDER(PK/FK PersonID). VEHICLE(VehicleID, FK DriverID). TRIP(TripID, FK DriverID, FK RiderID, FK VehicleID). PAYMENT(PaymentID, FK TripID). Excellent transformation — correct FKs, correct supertype/subtype. But no M:N.
P3: P3: PETTYPE, TRAININGTYPE 2NF(TrainingTypeID,TrainingTypeName,TrainerID,TrainerName), ACCESSORY, RECOMMENDATION(composite PK/FKs). Correct 2NF structure. No 3NF shown — TrainerID,TrainerName still in TRAININGTYPE.</t>
        </is>
      </c>
    </row>
    <row r="14">
      <c r="A14" s="2" t="inlineStr">
        <is>
          <t>Michael Murillo</t>
        </is>
      </c>
      <c r="B14" s="2" t="n">
        <v>4</v>
      </c>
      <c r="C14" s="2" t="n">
        <v>4</v>
      </c>
      <c r="D14" s="2" t="n">
        <v>3</v>
      </c>
      <c r="E14" s="2" t="n">
        <v>4</v>
      </c>
      <c r="F14" s="2" t="n">
        <v>3</v>
      </c>
      <c r="G14" s="3">
        <f>SUM(B14:F14)</f>
        <v/>
      </c>
      <c r="H14" s="2" t="n">
        <v>4</v>
      </c>
      <c r="I14" s="2" t="n">
        <v>3</v>
      </c>
      <c r="J14" s="2" t="n">
        <v>3</v>
      </c>
      <c r="K14" s="2" t="n">
        <v>3</v>
      </c>
      <c r="L14" s="2" t="n">
        <v>0</v>
      </c>
      <c r="M14" s="3">
        <f>SUM(H14:L14)</f>
        <v/>
      </c>
      <c r="N14" s="2" t="n">
        <v>4</v>
      </c>
      <c r="O14" s="2" t="n">
        <v>2</v>
      </c>
      <c r="P14" s="2" t="n">
        <v>1</v>
      </c>
      <c r="Q14" s="2" t="n">
        <v>0</v>
      </c>
      <c r="R14" s="2" t="n">
        <v>0</v>
      </c>
      <c r="S14" s="3">
        <f>SUM(N14:R14)</f>
        <v/>
      </c>
      <c r="T14" s="4">
        <f>G14+M14+S14</f>
        <v/>
      </c>
      <c r="U14" s="5">
        <f>T14/60</f>
        <v/>
      </c>
      <c r="V14" s="2">
        <f>IF(T14&gt;=54,"A",IF(T14&gt;=48,"B",IF(T14&gt;=42,"C",IF(T14&gt;=36,"D","F"))))</f>
        <v/>
      </c>
      <c r="W14" s="6" t="inlineStr">
        <is>
          <t>P1: P1: PEOPLE, Volunteer, Adopter, Animal, HousingArea. Circle "o"=overlapping. PersonType discriminator. Volunteer→Animal, Animal→HousingArea.
P2: P2: PROJECT(PK ProjectID, FK M_EmployeeID, FK ClientID). CONSULTANT(PK/FK C_EmployeeID, Specialty). MANAGER(PK/FK M_EmployeeID, BonusRate). Subtypes correctly reference Employee. ClientID in PROJECT — correct. No CONSULTANT_PROJECT.
P3: P3: Training→Trainer, Training→Accesory, Training→Pet — wrong chain relationships. Accesory has RecommendedQty (wrong). Trainer has FK TrainingTypeID (reasonable). Pet has FK TrainingTypeID (wrong). No FD/intersection table. No 3NF separation.</t>
        </is>
      </c>
    </row>
    <row r="15">
      <c r="A15" s="2" t="inlineStr">
        <is>
          <t>Zayna Navarro</t>
        </is>
      </c>
      <c r="B15" s="2" t="n">
        <v>4</v>
      </c>
      <c r="C15" s="2" t="n">
        <v>4</v>
      </c>
      <c r="D15" s="2" t="n">
        <v>3</v>
      </c>
      <c r="E15" s="2" t="n">
        <v>4</v>
      </c>
      <c r="F15" s="2" t="n">
        <v>2</v>
      </c>
      <c r="G15" s="3">
        <f>SUM(B15:F15)</f>
        <v/>
      </c>
      <c r="H15" s="2" t="n">
        <v>2</v>
      </c>
      <c r="I15" s="2" t="n">
        <v>1</v>
      </c>
      <c r="J15" s="2" t="n">
        <v>1</v>
      </c>
      <c r="K15" s="2" t="n">
        <v>1</v>
      </c>
      <c r="L15" s="2" t="n">
        <v>0</v>
      </c>
      <c r="M15" s="3">
        <f>SUM(H15:L15)</f>
        <v/>
      </c>
      <c r="N15" s="2" t="n">
        <v>1</v>
      </c>
      <c r="O15" s="2" t="n">
        <v>3</v>
      </c>
      <c r="P15" s="2" t="n">
        <v>2</v>
      </c>
      <c r="Q15" s="2" t="n">
        <v>4</v>
      </c>
      <c r="R15" s="2" t="n">
        <v>2</v>
      </c>
      <c r="S15" s="3">
        <f>SUM(N15:R15)</f>
        <v/>
      </c>
      <c r="T15" s="4">
        <f>G15+M15+S15</f>
        <v/>
      </c>
      <c r="U15" s="5">
        <f>T15/60</f>
        <v/>
      </c>
      <c r="V15" s="2">
        <f>IF(T15&gt;=54,"A",IF(T15&gt;=48,"B",IF(T15&gt;=42,"C",IF(T15&gt;=36,"D","F"))))</f>
        <v/>
      </c>
      <c r="W15" s="6" t="inlineStr">
        <is>
          <t>P1: P1: From visual review. 5 entities. Circle "O"=overlapping correct. Partial. Text labels for cardinality instead of notation.
P2: P2: From visual review. CLIENT has FK ProjectID (backwards). MANAGER/CONSULTANT use own IDs not EmployeeID. No CONSULTANT_PROJECT. Extra Phone Number attr. Major FK errors.
P3: P3: From visual review. Q1="relational form" (WRONG, should be 1NF). PD1-3 deps partially correct. 2NF: PD3-Accessories has too many attrs. Q4: transitive dep correctly identified. 3NF: TRAINER created but AccessoryRecommendedQty still wrong.</t>
        </is>
      </c>
    </row>
    <row r="16">
      <c r="A16" s="2" t="inlineStr">
        <is>
          <t>Samuel Orozco Bernal</t>
        </is>
      </c>
      <c r="B16" s="2" t="n">
        <v>5</v>
      </c>
      <c r="C16" s="2" t="n">
        <v>4</v>
      </c>
      <c r="D16" s="2" t="n">
        <v>4</v>
      </c>
      <c r="E16" s="2" t="n">
        <v>3</v>
      </c>
      <c r="F16" s="2" t="n">
        <v>3</v>
      </c>
      <c r="G16" s="3">
        <f>SUM(B16:F16)</f>
        <v/>
      </c>
      <c r="H16" s="2" t="n">
        <v>4</v>
      </c>
      <c r="I16" s="2" t="n">
        <v>4</v>
      </c>
      <c r="J16" s="2" t="n">
        <v>4</v>
      </c>
      <c r="K16" s="2" t="n">
        <v>4</v>
      </c>
      <c r="L16" s="2" t="n">
        <v>4</v>
      </c>
      <c r="M16" s="3">
        <f>SUM(H16:L16)</f>
        <v/>
      </c>
      <c r="N16" s="2" t="n">
        <v>4</v>
      </c>
      <c r="O16" s="2" t="n">
        <v>4</v>
      </c>
      <c r="P16" s="2" t="n">
        <v>4</v>
      </c>
      <c r="Q16" s="2" t="n">
        <v>4</v>
      </c>
      <c r="R16" s="2" t="n">
        <v>4</v>
      </c>
      <c r="S16" s="3">
        <f>SUM(N16:R16)</f>
        <v/>
      </c>
      <c r="T16" s="4">
        <f>G16+M16+S16</f>
        <v/>
      </c>
      <c r="U16" s="5">
        <f>T16/60</f>
        <v/>
      </c>
      <c r="V16" s="2">
        <f>IF(T16&gt;=54,"A",IF(T16&gt;=48,"B",IF(T16&gt;=42,"C",IF(T16&gt;=36,"D","F"))))</f>
        <v/>
      </c>
      <c r="W16" s="6" t="inlineStr">
        <is>
          <t>P1: P1: From visual review. PEOPLE, VOLUNTEERS, ADOPTERS, Animal, HOUSING. CARE_LOG associative with CareDate,StartTime,EndTime. Circle "O" (but drawio shows "0" not O — minor). Excellent overall.
P2: P2: From visual review. EXCELLENT. EMPLOYEE(PK EmployeeID,EmployeeName,Email,EmployeeType), CONSULTANT(PK/FK EmployeeID,Specialty), MANAGER(PK/FK EmployeeID,BonusRate), CLIENT(PK ClientID,ClientName), PROJECT(PK ProjectID,FK ClientID,FK ManagerID), CONSULTANT_PROJECT(FK EmployeeID,FK ProjectID,HoursAssigned). Perfect transformation.
P3: P3: From visual+drawio. Q1="1NF" correct. Dep arrows labeled PD1-3,TD correct. 2NF: PET_TYPE,TRAINING_TYPE(with TrainerID,TrainerName),ACCESSORY,FD(composite PK). 3NF: TD(TrainerName) separated. Q4="trainer name depends on trainer ID" correct.</t>
        </is>
      </c>
    </row>
    <row r="17">
      <c r="A17" s="2" t="inlineStr">
        <is>
          <t>Jo Paul</t>
        </is>
      </c>
      <c r="B17" s="2" t="n">
        <v>2</v>
      </c>
      <c r="C17" s="2" t="n">
        <v>2</v>
      </c>
      <c r="D17" s="2" t="n">
        <v>0</v>
      </c>
      <c r="E17" s="2" t="n">
        <v>0</v>
      </c>
      <c r="F17" s="2" t="n">
        <v>1</v>
      </c>
      <c r="G17" s="3">
        <f>SUM(B17:F17)</f>
        <v/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3">
        <f>SUM(H17:L17)</f>
        <v/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3">
        <f>SUM(N17:R17)</f>
        <v/>
      </c>
      <c r="T17" s="4">
        <f>G17+M17+S17</f>
        <v/>
      </c>
      <c r="U17" s="5">
        <f>T17/60</f>
        <v/>
      </c>
      <c r="V17" s="2">
        <f>IF(T17&gt;=54,"A",IF(T17&gt;=48,"B",IF(T17&gt;=42,"C",IF(T17&gt;=36,"D","F"))))</f>
        <v/>
      </c>
      <c r="W17" s="6" t="inlineStr">
        <is>
          <t>P1: P1: Only PEOPLE, Volunteer, Adopter created (with Person_ID). Missing ANIMAL, HOUSING_AREA entirely. No relationships. No O/D circle. Adopter→Volunteer connection (wrong).
P2: P2: Template unmodified. No transformation.
P3: P3: Empty — no decomposition done.</t>
        </is>
      </c>
    </row>
    <row r="18">
      <c r="A18" s="2" t="inlineStr">
        <is>
          <t>Isobel Ramirez</t>
        </is>
      </c>
      <c r="B18" s="2" t="n">
        <v>4</v>
      </c>
      <c r="C18" s="2" t="n">
        <v>4</v>
      </c>
      <c r="D18" s="2" t="n">
        <v>3</v>
      </c>
      <c r="E18" s="2" t="n">
        <v>4</v>
      </c>
      <c r="F18" s="2" t="n">
        <v>3</v>
      </c>
      <c r="G18" s="3">
        <f>SUM(B18:F18)</f>
        <v/>
      </c>
      <c r="H18" s="2" t="n">
        <v>3</v>
      </c>
      <c r="I18" s="2" t="n">
        <v>2</v>
      </c>
      <c r="J18" s="2" t="n">
        <v>2</v>
      </c>
      <c r="K18" s="2" t="n">
        <v>2</v>
      </c>
      <c r="L18" s="2" t="n">
        <v>0</v>
      </c>
      <c r="M18" s="3">
        <f>SUM(H18:L18)</f>
        <v/>
      </c>
      <c r="N18" s="2" t="n">
        <v>4</v>
      </c>
      <c r="O18" s="2" t="n">
        <v>4</v>
      </c>
      <c r="P18" s="2" t="n">
        <v>4</v>
      </c>
      <c r="Q18" s="2" t="n">
        <v>4</v>
      </c>
      <c r="R18" s="2" t="n">
        <v>4</v>
      </c>
      <c r="S18" s="3">
        <f>SUM(N18:R18)</f>
        <v/>
      </c>
      <c r="T18" s="4">
        <f>G18+M18+S18</f>
        <v/>
      </c>
      <c r="U18" s="5">
        <f>T18/60</f>
        <v/>
      </c>
      <c r="V18" s="2">
        <f>IF(T18&gt;=54,"A",IF(T18&gt;=48,"B",IF(T18&gt;=42,"C",IF(T18&gt;=36,"D","F"))))</f>
        <v/>
      </c>
      <c r="W18" s="6" t="inlineStr">
        <is>
          <t>P1: P1: PEOPLE, Volunteer, HousingArea, Adopter, Animal. Circle O=overlapping correct. PeopleType discriminator. Volunteer→Animal, Animal→HousingArea.
P2: P2: PROJECT(PK ProjectID, ClientID, ManagerID PK — wrong as PK). CONSULTANT(CEmployeeID PK). MANAGER(ManagerID PK, MEmployeeID PK — uses own ID). No CONSULTANT_PROJECT. Subtypes partially reference Employee. From visual: FK placement mostly correct but PK errors.
P3: P3: Excellent drawio labels. FD(QUANTITY) with composite PK/FKs+RecommendedQty. PD1(PET), PD2(TRAINING, FK TrainerID), PD3(ACCESSORY), TD(TRAINER). All deps correctly labeled. 3NF correct.</t>
        </is>
      </c>
    </row>
    <row r="19">
      <c r="A19" s="2" t="inlineStr">
        <is>
          <t>Maryivet Rivera</t>
        </is>
      </c>
      <c r="B19" s="2" t="n">
        <v>4</v>
      </c>
      <c r="C19" s="2" t="n">
        <v>4</v>
      </c>
      <c r="D19" s="2" t="n">
        <v>3</v>
      </c>
      <c r="E19" s="2" t="n">
        <v>4</v>
      </c>
      <c r="F19" s="2" t="n">
        <v>2</v>
      </c>
      <c r="G19" s="3">
        <f>SUM(B19:F19)</f>
        <v/>
      </c>
      <c r="H19" s="2" t="n">
        <v>3</v>
      </c>
      <c r="I19" s="2" t="n">
        <v>2</v>
      </c>
      <c r="J19" s="2" t="n">
        <v>3</v>
      </c>
      <c r="K19" s="2" t="n">
        <v>3</v>
      </c>
      <c r="L19" s="2" t="n">
        <v>0</v>
      </c>
      <c r="M19" s="3">
        <f>SUM(H19:L19)</f>
        <v/>
      </c>
      <c r="N19" s="2" t="n">
        <v>4</v>
      </c>
      <c r="O19" s="2" t="n">
        <v>3</v>
      </c>
      <c r="P19" s="2" t="n">
        <v>2</v>
      </c>
      <c r="Q19" s="2" t="n">
        <v>3</v>
      </c>
      <c r="R19" s="2" t="n">
        <v>2</v>
      </c>
      <c r="S19" s="3">
        <f>SUM(N19:R19)</f>
        <v/>
      </c>
      <c r="T19" s="4">
        <f>G19+M19+S19</f>
        <v/>
      </c>
      <c r="U19" s="5">
        <f>T19/60</f>
        <v/>
      </c>
      <c r="V19" s="2">
        <f>IF(T19&gt;=54,"A",IF(T19&gt;=48,"B",IF(T19&gt;=42,"C",IF(T19&gt;=36,"D","F"))))</f>
        <v/>
      </c>
      <c r="W19" s="6" t="inlineStr">
        <is>
          <t>P1: P1: PERSON, VOLUNTEERS, ADOPTERS, ANIMAL, HOUSING. Also has PEOPLE entity (duplicate?). Circle O=overlapping correct. Volunteer→Animal, Animal→Housing.
P2: P2: PROJECT(PK ProjectID, C.ClientID, M.EmployeeID). CONSULTANT(C.EmployeeID, Specialty). MANAGER(M.EmployeeID, BonusRate). Uses dotted notation for FKs — creative. CLIENT→PROJECT, MANAGER→PROJECT connections. No CONSULTANT_PROJECT.
P3: P3: PD1-PET, PD2-TRAINING, PD3-ACCESSORY(AccessoryID,TrainerID,TrainerName,RecommendedQT — wrong attrs), FD-RECOMMENDATION(composite PK/FKs). 3NF: PD3-TRAINER(TrainerID,TrainerName) separated. PD3-ACCESSORY still has FK TrainerID and RecommendedQT — wrong.</t>
        </is>
      </c>
    </row>
    <row r="20">
      <c r="A20" s="2" t="inlineStr">
        <is>
          <t>Evelyn Robles</t>
        </is>
      </c>
      <c r="B20" s="2" t="n">
        <v>4</v>
      </c>
      <c r="C20" s="2" t="n">
        <v>4</v>
      </c>
      <c r="D20" s="2" t="n">
        <v>3</v>
      </c>
      <c r="E20" s="2" t="n">
        <v>4</v>
      </c>
      <c r="F20" s="2" t="n">
        <v>3</v>
      </c>
      <c r="G20" s="3">
        <f>SUM(B20:F20)</f>
        <v/>
      </c>
      <c r="H20" s="2" t="n">
        <v>3</v>
      </c>
      <c r="I20" s="2" t="n">
        <v>3</v>
      </c>
      <c r="J20" s="2" t="n">
        <v>3</v>
      </c>
      <c r="K20" s="2" t="n">
        <v>3</v>
      </c>
      <c r="L20" s="2" t="n">
        <v>0</v>
      </c>
      <c r="M20" s="3">
        <f>SUM(H20:L20)</f>
        <v/>
      </c>
      <c r="N20" s="2" t="n">
        <v>4</v>
      </c>
      <c r="O20" s="2" t="n">
        <v>3</v>
      </c>
      <c r="P20" s="2" t="n">
        <v>3</v>
      </c>
      <c r="Q20" s="2" t="n">
        <v>3</v>
      </c>
      <c r="R20" s="2" t="n">
        <v>3</v>
      </c>
      <c r="S20" s="3">
        <f>SUM(N20:R20)</f>
        <v/>
      </c>
      <c r="T20" s="4">
        <f>G20+M20+S20</f>
        <v/>
      </c>
      <c r="U20" s="5">
        <f>T20/60</f>
        <v/>
      </c>
      <c r="V20" s="2">
        <f>IF(T20&gt;=54,"A",IF(T20&gt;=48,"B",IF(T20&gt;=42,"C",IF(T20&gt;=36,"D","F"))))</f>
        <v/>
      </c>
      <c r="W20" s="6" t="inlineStr">
        <is>
          <t>P1: P1: PEOPLE, Volunteers, Animals, Housing Area, Adopters. Circle O=overlapping correct. "a"/"v" discriminators. "Adopts" label. Volunteer→Animals, Animals→Housing.
P2: P2: PROJECT(PK ProjectID, PK/FK PMEmployerID, PK/FK ClientID). CONSULTANT(PK/FK CEmployeeID, Specialty). MANAGER(PK/FK MEmployeeID, BonusRate). Subtypes use EmployeeID PK/FK — correct. ClientID in PROJECT — correct. PMEmployerID PK is wrong. No CONSULTANT_PROJECT. MANAGER→EMPLOYEE connection.
P3: P3: PD PetTypeID(PetTypeName), PD TrainingTypeID(TrainingTypeName, FK TrainerID), FD(composite PK/FKs, RecommendedQty), PD AccessoryID(AccessoryName), TD(TrainerID,TrainerName). Correct 3NF structure. Labels clean.</t>
        </is>
      </c>
    </row>
    <row r="21">
      <c r="A21" s="2" t="inlineStr">
        <is>
          <t>Jordan Sims</t>
        </is>
      </c>
      <c r="B21" s="2" t="n">
        <v>2</v>
      </c>
      <c r="C21" s="2" t="n">
        <v>0</v>
      </c>
      <c r="D21" s="2" t="n">
        <v>0</v>
      </c>
      <c r="E21" s="2" t="n">
        <v>0</v>
      </c>
      <c r="F21" s="2" t="n">
        <v>1</v>
      </c>
      <c r="G21" s="3">
        <f>SUM(B21:F21)</f>
        <v/>
      </c>
      <c r="H21" s="2" t="n">
        <v>4</v>
      </c>
      <c r="I21" s="2" t="n">
        <v>4</v>
      </c>
      <c r="J21" s="2" t="n">
        <v>3</v>
      </c>
      <c r="K21" s="2" t="n">
        <v>3</v>
      </c>
      <c r="L21" s="2" t="n">
        <v>0</v>
      </c>
      <c r="M21" s="3">
        <f>SUM(H21:L21)</f>
        <v/>
      </c>
      <c r="N21" s="2" t="n">
        <v>4</v>
      </c>
      <c r="O21" s="2" t="n">
        <v>4</v>
      </c>
      <c r="P21" s="2" t="n">
        <v>3</v>
      </c>
      <c r="Q21" s="2" t="n">
        <v>4</v>
      </c>
      <c r="R21" s="2" t="n">
        <v>3</v>
      </c>
      <c r="S21" s="3">
        <f>SUM(N21:R21)</f>
        <v/>
      </c>
      <c r="T21" s="4">
        <f>G21+M21+S21</f>
        <v/>
      </c>
      <c r="U21" s="5">
        <f>T21/60</f>
        <v/>
      </c>
      <c r="V21" s="2">
        <f>IF(T21&gt;=54,"A",IF(T21&gt;=48,"B",IF(T21&gt;=42,"C",IF(T21&gt;=36,"D","F"))))</f>
        <v/>
      </c>
      <c r="W21" s="6" t="inlineStr">
        <is>
          <t>P1: P1: Drawio shows PEOPLE entity but all others empty. From visual review: very small screenshot, hard to read. Some entities visible but no attributes readable.
P2: P2: Employee(EmployeeID,EmployeeName,Email,EmployeeType), MANAGER(PK/FK1 EmployeeID,BonusRate), CONSULTANT(PK/FK1 EmployeeID,Specialty), CLIENT(ClientID,ClientName), PROJECT(ProjectID,FK ClientID,FK ManagerID). Subtypes use EmployeeID as PK/FK — correct! FK placement correct. No CONSULTANT_PROJECT.
P3: P3: From visual+drawio. Q1="1NF" excellent explanation. Q2: ALL deps correctly identified including TrainerID→TrainerName. Q3: 2NF correct (Training_Type still has TrainerID,TrainerName). Q4: Perfect transitive chain. Q5: Concept correct but missing actual diagram (text only). Recommendation table has correct composite PK.</t>
        </is>
      </c>
    </row>
    <row r="22">
      <c r="A22" s="2" t="inlineStr">
        <is>
          <t>Chanbomey Sunly</t>
        </is>
      </c>
      <c r="B22" s="2" t="n">
        <v>4</v>
      </c>
      <c r="C22" s="2" t="n">
        <v>4</v>
      </c>
      <c r="D22" s="2" t="n">
        <v>3</v>
      </c>
      <c r="E22" s="2" t="n">
        <v>4</v>
      </c>
      <c r="F22" s="2" t="n">
        <v>3</v>
      </c>
      <c r="G22" s="3">
        <f>SUM(B22:F22)</f>
        <v/>
      </c>
      <c r="H22" s="2" t="n">
        <v>4</v>
      </c>
      <c r="I22" s="2" t="n">
        <v>3</v>
      </c>
      <c r="J22" s="2" t="n">
        <v>3</v>
      </c>
      <c r="K22" s="2" t="n">
        <v>3</v>
      </c>
      <c r="L22" s="2" t="n">
        <v>0</v>
      </c>
      <c r="M22" s="3">
        <f>SUM(H22:L22)</f>
        <v/>
      </c>
      <c r="N22" s="2" t="n">
        <v>4</v>
      </c>
      <c r="O22" s="2" t="n">
        <v>4</v>
      </c>
      <c r="P22" s="2" t="n">
        <v>4</v>
      </c>
      <c r="Q22" s="2" t="n">
        <v>4</v>
      </c>
      <c r="R22" s="2" t="n">
        <v>4</v>
      </c>
      <c r="S22" s="3">
        <f>SUM(N22:R22)</f>
        <v/>
      </c>
      <c r="T22" s="4">
        <f>G22+M22+S22</f>
        <v/>
      </c>
      <c r="U22" s="5">
        <f>T22/60</f>
        <v/>
      </c>
      <c r="V22" s="2">
        <f>IF(T22&gt;=54,"A",IF(T22&gt;=48,"B",IF(T22&gt;=42,"C",IF(T22&gt;=36,"D","F"))))</f>
        <v/>
      </c>
      <c r="W22" s="6" t="inlineStr">
        <is>
          <t>P1: P1: PEOPLE, VOLUNTEERS, ADOPTERS, ANIMAL, HOUSING_AREA. Circle O=overlapping correct. "V"/"A" discriminators. Volunteer→Animal, Animal→Housing.
P2: P2: PROJECT(PK ProjectID, PK/FK M_EmployeeID PK — wrong as PK, PK/FK ClientID PK — wrong). CONSULTANT(PK/FK C_EmployeeID). MANAGER(PK/FK M_EmployeeID). EMPLOYEE has "Manager,Consultant" columns (wrong). Subtypes reference Employee — correct. ClientID in PROJECT — correct. No CONSULTANT_PROJECT.
P3: P3: Excellent. Labels: FD/PD1/PD2/PD3/TD all clearly stated. Dependencies shown. 2NF: PD1(PetTypeID,PetTypeName), PD2(TrainingTypeID,TrainingTypeName,TrainerID), PD3(AccessoryID,AccessoryName), FD(composite PK/FKs,RecommendedQty). 3NF: PD2 has FK TrainerID, TD(TrainerID,TrainerName). Perfect separation.</t>
        </is>
      </c>
    </row>
    <row r="23">
      <c r="A23" s="7" t="inlineStr">
        <is>
          <t>CLASS AVERAGE</t>
        </is>
      </c>
      <c r="G23" s="8">
        <f>AVERAGE(G2:G22)</f>
        <v/>
      </c>
      <c r="M23" s="8">
        <f>AVERAGE(M2:M22)</f>
        <v/>
      </c>
      <c r="S23" s="8">
        <f>AVERAGE(S2:S22)</f>
        <v/>
      </c>
      <c r="T23" s="8">
        <f>AVERAGE(T2:T22)</f>
        <v/>
      </c>
      <c r="U23" s="9">
        <f>AVERAGE(U2:U22)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2026-03-18T18:16:14Z</dcterms:created>
  <dcterms:modified xmlns:dcterms="http://purl.org/dc/terms/" xmlns:xsi="http://www.w3.org/2001/XMLSchema-instance" xsi:type="dcterms:W3CDTF">2026-03-18T18:16:14Z</dcterms:modified>
</cp:coreProperties>
</file>